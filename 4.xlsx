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cuments\"/>
    </mc:Choice>
  </mc:AlternateContent>
  <bookViews>
    <workbookView xWindow="0" yWindow="0" windowWidth="23040" windowHeight="9072" activeTab="2"/>
  </bookViews>
  <sheets>
    <sheet name="Sheet1" sheetId="1" r:id="rId1"/>
    <sheet name="Sheet2" sheetId="2" r:id="rId2"/>
    <sheet name="Sheet3" sheetId="3" r:id="rId3"/>
  </sheets>
  <definedNames>
    <definedName name="Slicer_Month">#N/A</definedName>
    <definedName name="Slicer_Savings">#N/A</definedName>
    <definedName name="Slicer_Total_Monthly_Expenditure">#N/A</definedName>
  </definedNames>
  <calcPr calcId="162913"/>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4" i="1" l="1"/>
  <c r="H22" i="1"/>
  <c r="I3" i="1" l="1"/>
  <c r="I4" i="1"/>
  <c r="I5" i="1"/>
  <c r="I6" i="1"/>
  <c r="I7" i="1"/>
  <c r="I8" i="1"/>
  <c r="I9" i="1"/>
  <c r="I10" i="1"/>
  <c r="I11" i="1"/>
  <c r="I12" i="1"/>
  <c r="I13" i="1"/>
  <c r="I2" i="1"/>
  <c r="G3" i="1"/>
  <c r="G4" i="1"/>
  <c r="G5" i="1"/>
  <c r="G6" i="1"/>
  <c r="G7" i="1"/>
  <c r="G8" i="1"/>
  <c r="G9" i="1"/>
  <c r="G10" i="1"/>
  <c r="G11" i="1"/>
  <c r="G12" i="1"/>
  <c r="G13" i="1"/>
  <c r="G2" i="1"/>
</calcChain>
</file>

<file path=xl/sharedStrings.xml><?xml version="1.0" encoding="utf-8"?>
<sst xmlns="http://schemas.openxmlformats.org/spreadsheetml/2006/main" count="83" uniqueCount="29">
  <si>
    <t>Month</t>
  </si>
  <si>
    <t>Jan</t>
  </si>
  <si>
    <t>Feb</t>
  </si>
  <si>
    <t>Mar</t>
  </si>
  <si>
    <t>Apr</t>
  </si>
  <si>
    <t>May</t>
  </si>
  <si>
    <t>June</t>
  </si>
  <si>
    <t>July</t>
  </si>
  <si>
    <t>Aug</t>
  </si>
  <si>
    <t>Sep</t>
  </si>
  <si>
    <t>Oct</t>
  </si>
  <si>
    <t>Nov</t>
  </si>
  <si>
    <t>Dec</t>
  </si>
  <si>
    <t>Category</t>
  </si>
  <si>
    <t>Rent</t>
  </si>
  <si>
    <t>Food</t>
  </si>
  <si>
    <t>Transport</t>
  </si>
  <si>
    <t>Entertainment</t>
  </si>
  <si>
    <t>Total Monthly Expenditure</t>
  </si>
  <si>
    <t>Budget</t>
  </si>
  <si>
    <t>Savings</t>
  </si>
  <si>
    <t>Row Labels</t>
  </si>
  <si>
    <t>Grand Total</t>
  </si>
  <si>
    <t>Sum of Food</t>
  </si>
  <si>
    <t>Sum of Transport</t>
  </si>
  <si>
    <t>Sum of Entertainment</t>
  </si>
  <si>
    <t>Sum of Total Monthly Expenditure</t>
  </si>
  <si>
    <t>BUDGET</t>
  </si>
  <si>
    <t>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</si>
</sst>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cellXfs>
  <cellStyles count="1">
    <cellStyle name="Normal" xfId="0" builtinId="0"/>
  </cellStyles>
  <dxfs count="84">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[4.xlsx]Sheet2!PivotTable1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Sheet2!$A$4:$A$16</c:f>
              <c:strCache>
                <c:ptCount val="12"/>
                <c:pt idx="0">
                  <c:v>Jan</c:v>
                </c:pt>
                <c:pt idx="1">
                  <c:v>Feb</c:v>
                </c:pt>
                <c:pt idx="2">
                  <c:v>Mar</c:v>
                </c:pt>
                <c:pt idx="3">
                  <c:v>Apr</c:v>
                </c:pt>
                <c:pt idx="4">
                  <c:v>May</c:v>
                </c:pt>
                <c:pt idx="5">
                  <c:v>Aug</c:v>
                </c:pt>
                <c:pt idx="6">
                  <c:v>Sep</c:v>
                </c:pt>
                <c:pt idx="7">
                  <c:v>Oct</c:v>
                </c:pt>
                <c:pt idx="8">
                  <c:v>Nov</c:v>
                </c:pt>
                <c:pt idx="9">
                  <c:v>Dec</c:v>
                </c:pt>
                <c:pt idx="10">
                  <c:v>June</c:v>
                </c:pt>
                <c:pt idx="11">
                  <c:v>July</c:v>
                </c:pt>
              </c:strCache>
            </c:strRef>
          </c:cat>
          <c:val>
            <c:numRef>
              <c:f>Sheet2!$B$4:$B$16</c:f>
              <c:numCache>
                <c:formatCode>General</c:formatCode>
                <c:ptCount val="12"/>
                <c:pt idx="0">
                  <c:v>6950</c:v>
                </c:pt>
                <c:pt idx="1">
                  <c:v>6975</c:v>
                </c:pt>
                <c:pt idx="2">
                  <c:v>8075</c:v>
                </c:pt>
                <c:pt idx="3">
                  <c:v>7955</c:v>
                </c:pt>
                <c:pt idx="4">
                  <c:v>7670</c:v>
                </c:pt>
                <c:pt idx="5">
                  <c:v>7841</c:v>
                </c:pt>
                <c:pt idx="6">
                  <c:v>8525</c:v>
                </c:pt>
                <c:pt idx="7">
                  <c:v>7841</c:v>
                </c:pt>
                <c:pt idx="8">
                  <c:v>7563</c:v>
                </c:pt>
                <c:pt idx="9">
                  <c:v>8021</c:v>
                </c:pt>
                <c:pt idx="10">
                  <c:v>8285</c:v>
                </c:pt>
                <c:pt idx="11">
                  <c:v>8002</c:v>
                </c:pt>
              </c:numCache>
            </c:numRef>
          </c:val>
          <c:extLst>
            <c:ext xmlns:c16="http://schemas.microsoft.com/office/drawing/2014/chart" uri="{C3380CC4-5D6E-409C-BE32-E72D297353CC}">
              <c16:uniqueId val="{00000000-3CA5-4D1C-A681-7FC6A4B8C787}"/>
            </c:ext>
          </c:extLst>
        </c:ser>
        <c:dLbls>
          <c:dLblPos val="outEnd"/>
          <c:showLegendKey val="0"/>
          <c:showVal val="1"/>
          <c:showCatName val="0"/>
          <c:showSerName val="0"/>
          <c:showPercent val="0"/>
          <c:showBubbleSize val="0"/>
        </c:dLbls>
        <c:gapWidth val="219"/>
        <c:overlap val="-27"/>
        <c:axId val="1155600351"/>
        <c:axId val="1155609919"/>
      </c:barChart>
      <c:catAx>
        <c:axId val="115560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09919"/>
        <c:crosses val="autoZero"/>
        <c:auto val="1"/>
        <c:lblAlgn val="ctr"/>
        <c:lblOffset val="100"/>
        <c:noMultiLvlLbl val="0"/>
      </c:catAx>
      <c:valAx>
        <c:axId val="1155609919"/>
        <c:scaling>
          <c:orientation val="minMax"/>
        </c:scaling>
        <c:delete val="1"/>
        <c:axPos val="l"/>
        <c:numFmt formatCode="General" sourceLinked="1"/>
        <c:majorTickMark val="none"/>
        <c:minorTickMark val="none"/>
        <c:tickLblPos val="nextTo"/>
        <c:crossAx val="1155600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[4.xlsx]Sheet2!PivotTable2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Sheet2!$D$4:$D$16</c:f>
              <c:strCache>
                <c:ptCount val="12"/>
                <c:pt idx="0">
                  <c:v>Jan</c:v>
                </c:pt>
                <c:pt idx="1">
                  <c:v>Feb</c:v>
                </c:pt>
                <c:pt idx="2">
                  <c:v>Mar</c:v>
                </c:pt>
                <c:pt idx="3">
                  <c:v>Apr</c:v>
                </c:pt>
                <c:pt idx="4">
                  <c:v>May</c:v>
                </c:pt>
                <c:pt idx="5">
                  <c:v>Aug</c:v>
                </c:pt>
                <c:pt idx="6">
                  <c:v>Sep</c:v>
                </c:pt>
                <c:pt idx="7">
                  <c:v>Oct</c:v>
                </c:pt>
                <c:pt idx="8">
                  <c:v>Nov</c:v>
                </c:pt>
                <c:pt idx="9">
                  <c:v>Dec</c:v>
                </c:pt>
                <c:pt idx="10">
                  <c:v>June</c:v>
                </c:pt>
                <c:pt idx="11">
                  <c:v>July</c:v>
                </c:pt>
              </c:strCache>
            </c:strRef>
          </c:cat>
          <c:val>
            <c:numRef>
              <c:f>Sheet2!$E$4:$E$16</c:f>
              <c:numCache>
                <c:formatCode>General</c:formatCode>
                <c:ptCount val="12"/>
                <c:pt idx="0">
                  <c:v>1700</c:v>
                </c:pt>
                <c:pt idx="1">
                  <c:v>1800</c:v>
                </c:pt>
                <c:pt idx="2">
                  <c:v>2300</c:v>
                </c:pt>
                <c:pt idx="3">
                  <c:v>2100</c:v>
                </c:pt>
                <c:pt idx="4">
                  <c:v>2000</c:v>
                </c:pt>
                <c:pt idx="5">
                  <c:v>2245</c:v>
                </c:pt>
                <c:pt idx="6">
                  <c:v>2356</c:v>
                </c:pt>
                <c:pt idx="7">
                  <c:v>2189</c:v>
                </c:pt>
                <c:pt idx="8">
                  <c:v>1979</c:v>
                </c:pt>
                <c:pt idx="9">
                  <c:v>1648</c:v>
                </c:pt>
                <c:pt idx="10">
                  <c:v>2200</c:v>
                </c:pt>
                <c:pt idx="11">
                  <c:v>1878</c:v>
                </c:pt>
              </c:numCache>
            </c:numRef>
          </c:val>
          <c:extLst>
            <c:ext xmlns:c16="http://schemas.microsoft.com/office/drawing/2014/chart" uri="{C3380CC4-5D6E-409C-BE32-E72D297353CC}">
              <c16:uniqueId val="{00000000-1C7B-4730-90A0-85A4FEF11E54}"/>
            </c:ext>
          </c:extLst>
        </c:ser>
        <c:dLbls>
          <c:dLblPos val="outEnd"/>
          <c:showLegendKey val="0"/>
          <c:showVal val="1"/>
          <c:showCatName val="0"/>
          <c:showSerName val="0"/>
          <c:showPercent val="0"/>
          <c:showBubbleSize val="0"/>
        </c:dLbls>
        <c:gapWidth val="182"/>
        <c:axId val="1155605759"/>
        <c:axId val="1155606591"/>
      </c:barChart>
      <c:catAx>
        <c:axId val="1155605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06591"/>
        <c:crosses val="autoZero"/>
        <c:auto val="1"/>
        <c:lblAlgn val="ctr"/>
        <c:lblOffset val="100"/>
        <c:noMultiLvlLbl val="0"/>
      </c:catAx>
      <c:valAx>
        <c:axId val="1155606591"/>
        <c:scaling>
          <c:orientation val="minMax"/>
        </c:scaling>
        <c:delete val="1"/>
        <c:axPos val="b"/>
        <c:numFmt formatCode="General" sourceLinked="1"/>
        <c:majorTickMark val="none"/>
        <c:minorTickMark val="none"/>
        <c:tickLblPos val="nextTo"/>
        <c:crossAx val="11556057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[4.xlsx]Sheet2!PivotTable3</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Sheet2!$H$3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AB2-4E0B-8518-65A6A27CD8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AB2-4E0B-8518-65A6A27CD8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5AB2-4E0B-8518-65A6A27CD8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17-4BC7-B785-FA655BD450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17-4BC7-B785-FA655BD450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617-4BC7-B785-FA655BD4504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617-4BC7-B785-FA655BD4504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617-4BC7-B785-FA655BD4504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617-4BC7-B785-FA655BD4504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617-4BC7-B785-FA655BD4504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617-4BC7-B785-FA655BD4504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4-5AB2-4E0B-8518-65A6A27CD8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Sheet2!$G$4:$G$16</c:f>
              <c:strCache>
                <c:ptCount val="12"/>
                <c:pt idx="0">
                  <c:v>Jan</c:v>
                </c:pt>
                <c:pt idx="1">
                  <c:v>Feb</c:v>
                </c:pt>
                <c:pt idx="2">
                  <c:v>Mar</c:v>
                </c:pt>
                <c:pt idx="3">
                  <c:v>Apr</c:v>
                </c:pt>
                <c:pt idx="4">
                  <c:v>May</c:v>
                </c:pt>
                <c:pt idx="5">
                  <c:v>Aug</c:v>
                </c:pt>
                <c:pt idx="6">
                  <c:v>Sep</c:v>
                </c:pt>
                <c:pt idx="7">
                  <c:v>Oct</c:v>
                </c:pt>
                <c:pt idx="8">
                  <c:v>Nov</c:v>
                </c:pt>
                <c:pt idx="9">
                  <c:v>Dec</c:v>
                </c:pt>
                <c:pt idx="10">
                  <c:v>June</c:v>
                </c:pt>
                <c:pt idx="11">
                  <c:v>July</c:v>
                </c:pt>
              </c:strCache>
            </c:strRef>
          </c:cat>
          <c:val>
            <c:numRef>
              <c:f>Sheet2!$H$4:$H$16</c:f>
              <c:numCache>
                <c:formatCode>General</c:formatCode>
                <c:ptCount val="12"/>
                <c:pt idx="0">
                  <c:v>500</c:v>
                </c:pt>
                <c:pt idx="1">
                  <c:v>675</c:v>
                </c:pt>
                <c:pt idx="2">
                  <c:v>900</c:v>
                </c:pt>
                <c:pt idx="3">
                  <c:v>855</c:v>
                </c:pt>
                <c:pt idx="4">
                  <c:v>770</c:v>
                </c:pt>
                <c:pt idx="5">
                  <c:v>550</c:v>
                </c:pt>
                <c:pt idx="6">
                  <c:v>880</c:v>
                </c:pt>
                <c:pt idx="7">
                  <c:v>673</c:v>
                </c:pt>
                <c:pt idx="8">
                  <c:v>785</c:v>
                </c:pt>
                <c:pt idx="9">
                  <c:v>1090</c:v>
                </c:pt>
                <c:pt idx="10">
                  <c:v>1010</c:v>
                </c:pt>
                <c:pt idx="11">
                  <c:v>925</c:v>
                </c:pt>
              </c:numCache>
            </c:numRef>
          </c:val>
          <c:extLst>
            <c:ext xmlns:c16="http://schemas.microsoft.com/office/drawing/2014/chart" uri="{C3380CC4-5D6E-409C-BE32-E72D297353CC}">
              <c16:uniqueId val="{00000000-5AB2-4E0B-8518-65A6A27CD81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[4.xlsx]Sheet2!PivotTable4</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Sheet2!$J$4:$J$16</c:f>
              <c:strCache>
                <c:ptCount val="12"/>
                <c:pt idx="0">
                  <c:v>Jan</c:v>
                </c:pt>
                <c:pt idx="1">
                  <c:v>Feb</c:v>
                </c:pt>
                <c:pt idx="2">
                  <c:v>Mar</c:v>
                </c:pt>
                <c:pt idx="3">
                  <c:v>Apr</c:v>
                </c:pt>
                <c:pt idx="4">
                  <c:v>May</c:v>
                </c:pt>
                <c:pt idx="5">
                  <c:v>Aug</c:v>
                </c:pt>
                <c:pt idx="6">
                  <c:v>Sep</c:v>
                </c:pt>
                <c:pt idx="7">
                  <c:v>Oct</c:v>
                </c:pt>
                <c:pt idx="8">
                  <c:v>Nov</c:v>
                </c:pt>
                <c:pt idx="9">
                  <c:v>Dec</c:v>
                </c:pt>
                <c:pt idx="10">
                  <c:v>June</c:v>
                </c:pt>
                <c:pt idx="11">
                  <c:v>July</c:v>
                </c:pt>
              </c:strCache>
            </c:strRef>
          </c:cat>
          <c:val>
            <c:numRef>
              <c:f>Sheet2!$K$4:$K$16</c:f>
              <c:numCache>
                <c:formatCode>General</c:formatCode>
                <c:ptCount val="12"/>
                <c:pt idx="0">
                  <c:v>250</c:v>
                </c:pt>
                <c:pt idx="1">
                  <c:v>0</c:v>
                </c:pt>
                <c:pt idx="2">
                  <c:v>375</c:v>
                </c:pt>
                <c:pt idx="3">
                  <c:v>500</c:v>
                </c:pt>
                <c:pt idx="4">
                  <c:v>400</c:v>
                </c:pt>
                <c:pt idx="5">
                  <c:v>546</c:v>
                </c:pt>
                <c:pt idx="6">
                  <c:v>789</c:v>
                </c:pt>
                <c:pt idx="7">
                  <c:v>479</c:v>
                </c:pt>
                <c:pt idx="8">
                  <c:v>299</c:v>
                </c:pt>
                <c:pt idx="9">
                  <c:v>783</c:v>
                </c:pt>
                <c:pt idx="10">
                  <c:v>575</c:v>
                </c:pt>
                <c:pt idx="11">
                  <c:v>699</c:v>
                </c:pt>
              </c:numCache>
            </c:numRef>
          </c:val>
          <c:smooth val="0"/>
          <c:extLst>
            <c:ext xmlns:c16="http://schemas.microsoft.com/office/drawing/2014/chart" uri="{C3380CC4-5D6E-409C-BE32-E72D297353CC}">
              <c16:uniqueId val="{00000000-CF4B-441B-AB2A-93F7F7D28224}"/>
            </c:ext>
          </c:extLst>
        </c:ser>
        <c:dLbls>
          <c:dLblPos val="t"/>
          <c:showLegendKey val="0"/>
          <c:showVal val="1"/>
          <c:showCatName val="0"/>
          <c:showSerName val="0"/>
          <c:showPercent val="0"/>
          <c:showBubbleSize val="0"/>
        </c:dLbls>
        <c:smooth val="0"/>
        <c:axId val="1158321791"/>
        <c:axId val="1158327199"/>
      </c:lineChart>
      <c:catAx>
        <c:axId val="115832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327199"/>
        <c:crosses val="autoZero"/>
        <c:auto val="1"/>
        <c:lblAlgn val="ctr"/>
        <c:lblOffset val="100"/>
        <c:noMultiLvlLbl val="0"/>
      </c:catAx>
      <c:valAx>
        <c:axId val="1158327199"/>
        <c:scaling>
          <c:orientation val="minMax"/>
        </c:scaling>
        <c:delete val="1"/>
        <c:axPos val="l"/>
        <c:numFmt formatCode="General" sourceLinked="1"/>
        <c:majorTickMark val="none"/>
        <c:minorTickMark val="none"/>
        <c:tickLblPos val="nextTo"/>
        <c:crossAx val="11583217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[4.xlsx]Sheet2!PivotTable1</c:name>
    <c:fmtId val="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delete val="1"/>
          </c:dLbls>
          <c:cat>
            <c:strRef>
              <c:f>Sheet2!$A$4:$A$16</c:f>
              <c:strCache>
                <c:ptCount val="12"/>
                <c:pt idx="0">
                  <c:v>Jan</c:v>
                </c:pt>
                <c:pt idx="1">
                  <c:v>Feb</c:v>
                </c:pt>
                <c:pt idx="2">
                  <c:v>Mar</c:v>
                </c:pt>
                <c:pt idx="3">
                  <c:v>Apr</c:v>
                </c:pt>
                <c:pt idx="4">
                  <c:v>May</c:v>
                </c:pt>
                <c:pt idx="5">
                  <c:v>Aug</c:v>
                </c:pt>
                <c:pt idx="6">
                  <c:v>Sep</c:v>
                </c:pt>
                <c:pt idx="7">
                  <c:v>Oct</c:v>
                </c:pt>
                <c:pt idx="8">
                  <c:v>Nov</c:v>
                </c:pt>
                <c:pt idx="9">
                  <c:v>Dec</c:v>
                </c:pt>
                <c:pt idx="10">
                  <c:v>June</c:v>
                </c:pt>
                <c:pt idx="11">
                  <c:v>July</c:v>
                </c:pt>
              </c:strCache>
            </c:strRef>
          </c:cat>
          <c:val>
            <c:numRef>
              <c:f>Sheet2!$B$4:$B$16</c:f>
              <c:numCache>
                <c:formatCode>General</c:formatCode>
                <c:ptCount val="12"/>
                <c:pt idx="0">
                  <c:v>6950</c:v>
                </c:pt>
                <c:pt idx="1">
                  <c:v>6975</c:v>
                </c:pt>
                <c:pt idx="2">
                  <c:v>8075</c:v>
                </c:pt>
                <c:pt idx="3">
                  <c:v>7955</c:v>
                </c:pt>
                <c:pt idx="4">
                  <c:v>7670</c:v>
                </c:pt>
                <c:pt idx="5">
                  <c:v>7841</c:v>
                </c:pt>
                <c:pt idx="6">
                  <c:v>8525</c:v>
                </c:pt>
                <c:pt idx="7">
                  <c:v>7841</c:v>
                </c:pt>
                <c:pt idx="8">
                  <c:v>7563</c:v>
                </c:pt>
                <c:pt idx="9">
                  <c:v>8021</c:v>
                </c:pt>
                <c:pt idx="10">
                  <c:v>8285</c:v>
                </c:pt>
                <c:pt idx="11">
                  <c:v>8002</c:v>
                </c:pt>
              </c:numCache>
            </c:numRef>
          </c:val>
          <c:extLst>
            <c:ext xmlns:c16="http://schemas.microsoft.com/office/drawing/2014/chart" uri="{C3380CC4-5D6E-409C-BE32-E72D297353CC}">
              <c16:uniqueId val="{00000000-4BF4-4EC9-BDF4-D240CFB5D438}"/>
            </c:ext>
          </c:extLst>
        </c:ser>
        <c:dLbls>
          <c:dLblPos val="outEnd"/>
          <c:showLegendKey val="0"/>
          <c:showVal val="1"/>
          <c:showCatName val="0"/>
          <c:showSerName val="0"/>
          <c:showPercent val="0"/>
          <c:showBubbleSize val="0"/>
        </c:dLbls>
        <c:gapWidth val="219"/>
        <c:overlap val="-27"/>
        <c:axId val="1155600351"/>
        <c:axId val="1155609919"/>
      </c:barChart>
      <c:catAx>
        <c:axId val="115560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09919"/>
        <c:crosses val="autoZero"/>
        <c:auto val="1"/>
        <c:lblAlgn val="ctr"/>
        <c:lblOffset val="100"/>
        <c:noMultiLvlLbl val="0"/>
      </c:catAx>
      <c:valAx>
        <c:axId val="1155609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00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[4.xlsx]Sheet2!PivotTable2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Sheet2!$D$4:$D$16</c:f>
              <c:strCache>
                <c:ptCount val="12"/>
                <c:pt idx="0">
                  <c:v>Jan</c:v>
                </c:pt>
                <c:pt idx="1">
                  <c:v>Feb</c:v>
                </c:pt>
                <c:pt idx="2">
                  <c:v>Mar</c:v>
                </c:pt>
                <c:pt idx="3">
                  <c:v>Apr</c:v>
                </c:pt>
                <c:pt idx="4">
                  <c:v>May</c:v>
                </c:pt>
                <c:pt idx="5">
                  <c:v>Aug</c:v>
                </c:pt>
                <c:pt idx="6">
                  <c:v>Sep</c:v>
                </c:pt>
                <c:pt idx="7">
                  <c:v>Oct</c:v>
                </c:pt>
                <c:pt idx="8">
                  <c:v>Nov</c:v>
                </c:pt>
                <c:pt idx="9">
                  <c:v>Dec</c:v>
                </c:pt>
                <c:pt idx="10">
                  <c:v>June</c:v>
                </c:pt>
                <c:pt idx="11">
                  <c:v>July</c:v>
                </c:pt>
              </c:strCache>
            </c:strRef>
          </c:cat>
          <c:val>
            <c:numRef>
              <c:f>Sheet2!$E$4:$E$16</c:f>
              <c:numCache>
                <c:formatCode>General</c:formatCode>
                <c:ptCount val="12"/>
                <c:pt idx="0">
                  <c:v>1700</c:v>
                </c:pt>
                <c:pt idx="1">
                  <c:v>1800</c:v>
                </c:pt>
                <c:pt idx="2">
                  <c:v>2300</c:v>
                </c:pt>
                <c:pt idx="3">
                  <c:v>2100</c:v>
                </c:pt>
                <c:pt idx="4">
                  <c:v>2000</c:v>
                </c:pt>
                <c:pt idx="5">
                  <c:v>2245</c:v>
                </c:pt>
                <c:pt idx="6">
                  <c:v>2356</c:v>
                </c:pt>
                <c:pt idx="7">
                  <c:v>2189</c:v>
                </c:pt>
                <c:pt idx="8">
                  <c:v>1979</c:v>
                </c:pt>
                <c:pt idx="9">
                  <c:v>1648</c:v>
                </c:pt>
                <c:pt idx="10">
                  <c:v>2200</c:v>
                </c:pt>
                <c:pt idx="11">
                  <c:v>1878</c:v>
                </c:pt>
              </c:numCache>
            </c:numRef>
          </c:val>
          <c:extLst>
            <c:ext xmlns:c16="http://schemas.microsoft.com/office/drawing/2014/chart" uri="{C3380CC4-5D6E-409C-BE32-E72D297353CC}">
              <c16:uniqueId val="{00000000-32A0-46B1-80C7-5A0E6115B20C}"/>
            </c:ext>
          </c:extLst>
        </c:ser>
        <c:dLbls>
          <c:dLblPos val="outEnd"/>
          <c:showLegendKey val="0"/>
          <c:showVal val="1"/>
          <c:showCatName val="0"/>
          <c:showSerName val="0"/>
          <c:showPercent val="0"/>
          <c:showBubbleSize val="0"/>
        </c:dLbls>
        <c:gapWidth val="182"/>
        <c:axId val="1155605759"/>
        <c:axId val="1155606591"/>
      </c:barChart>
      <c:catAx>
        <c:axId val="1155605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06591"/>
        <c:crosses val="autoZero"/>
        <c:auto val="1"/>
        <c:lblAlgn val="ctr"/>
        <c:lblOffset val="100"/>
        <c:noMultiLvlLbl val="0"/>
      </c:catAx>
      <c:valAx>
        <c:axId val="1155606591"/>
        <c:scaling>
          <c:orientation val="minMax"/>
        </c:scaling>
        <c:delete val="1"/>
        <c:axPos val="b"/>
        <c:numFmt formatCode="General" sourceLinked="1"/>
        <c:majorTickMark val="none"/>
        <c:minorTickMark val="none"/>
        <c:tickLblPos val="nextTo"/>
        <c:crossAx val="11556057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[4.xlsx]Sheet2!PivotTable3</c:name>
    <c:fmtId val="3"/>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Sheet2!$H$3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A47-4C14-869C-8EBFA106B38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A47-4C14-869C-8EBFA106B38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A47-4C14-869C-8EBFA106B38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BA47-4C14-869C-8EBFA106B38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BA47-4C14-869C-8EBFA106B38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BA47-4C14-869C-8EBFA106B38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BA47-4C14-869C-8EBFA106B38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BA47-4C14-869C-8EBFA106B38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BA47-4C14-869C-8EBFA106B38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BA47-4C14-869C-8EBFA106B38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5-BA47-4C14-869C-8EBFA106B38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7-BA47-4C14-869C-8EBFA106B3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Sheet2!$G$4:$G$16</c:f>
              <c:strCache>
                <c:ptCount val="12"/>
                <c:pt idx="0">
                  <c:v>Jan</c:v>
                </c:pt>
                <c:pt idx="1">
                  <c:v>Feb</c:v>
                </c:pt>
                <c:pt idx="2">
                  <c:v>Mar</c:v>
                </c:pt>
                <c:pt idx="3">
                  <c:v>Apr</c:v>
                </c:pt>
                <c:pt idx="4">
                  <c:v>May</c:v>
                </c:pt>
                <c:pt idx="5">
                  <c:v>Aug</c:v>
                </c:pt>
                <c:pt idx="6">
                  <c:v>Sep</c:v>
                </c:pt>
                <c:pt idx="7">
                  <c:v>Oct</c:v>
                </c:pt>
                <c:pt idx="8">
                  <c:v>Nov</c:v>
                </c:pt>
                <c:pt idx="9">
                  <c:v>Dec</c:v>
                </c:pt>
                <c:pt idx="10">
                  <c:v>June</c:v>
                </c:pt>
                <c:pt idx="11">
                  <c:v>July</c:v>
                </c:pt>
              </c:strCache>
            </c:strRef>
          </c:cat>
          <c:val>
            <c:numRef>
              <c:f>Sheet2!$H$4:$H$16</c:f>
              <c:numCache>
                <c:formatCode>General</c:formatCode>
                <c:ptCount val="12"/>
                <c:pt idx="0">
                  <c:v>500</c:v>
                </c:pt>
                <c:pt idx="1">
                  <c:v>675</c:v>
                </c:pt>
                <c:pt idx="2">
                  <c:v>900</c:v>
                </c:pt>
                <c:pt idx="3">
                  <c:v>855</c:v>
                </c:pt>
                <c:pt idx="4">
                  <c:v>770</c:v>
                </c:pt>
                <c:pt idx="5">
                  <c:v>550</c:v>
                </c:pt>
                <c:pt idx="6">
                  <c:v>880</c:v>
                </c:pt>
                <c:pt idx="7">
                  <c:v>673</c:v>
                </c:pt>
                <c:pt idx="8">
                  <c:v>785</c:v>
                </c:pt>
                <c:pt idx="9">
                  <c:v>1090</c:v>
                </c:pt>
                <c:pt idx="10">
                  <c:v>1010</c:v>
                </c:pt>
                <c:pt idx="11">
                  <c:v>925</c:v>
                </c:pt>
              </c:numCache>
            </c:numRef>
          </c:val>
          <c:extLst>
            <c:ext xmlns:c16="http://schemas.microsoft.com/office/drawing/2014/chart" uri="{C3380CC4-5D6E-409C-BE32-E72D297353CC}">
              <c16:uniqueId val="{00000018-BA47-4C14-869C-8EBFA106B3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[4.xlsx]Sheet2!PivotTable4</c:name>
    <c:fmtId val="4"/>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manualLayout>
          <c:layoutTarget val="inner"/>
          <c:xMode val="edge"/>
          <c:yMode val="edge"/>
          <c:x val="6.6006600660066E-2"/>
          <c:y val="0.21532557887964654"/>
          <c:w val="0.9092409240924092"/>
          <c:h val="0.46668602433372619"/>
        </c:manualLayout>
      </c:layout>
      <c:lineChart>
        <c:grouping val="standard"/>
        <c:varyColors val="0"/>
        <c:ser>
          <c:idx val="0"/>
          <c:order val="0"/>
          <c:tx>
            <c:strRef>
              <c:f>Sheet2!$K$3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delete val="1"/>
          </c:dLbls>
          <c:cat>
            <c:strRef>
              <c:f>Sheet2!$J$4:$J$16</c:f>
              <c:strCache>
                <c:ptCount val="12"/>
                <c:pt idx="0">
                  <c:v>Jan</c:v>
                </c:pt>
                <c:pt idx="1">
                  <c:v>Feb</c:v>
                </c:pt>
                <c:pt idx="2">
                  <c:v>Mar</c:v>
                </c:pt>
                <c:pt idx="3">
                  <c:v>Apr</c:v>
                </c:pt>
                <c:pt idx="4">
                  <c:v>May</c:v>
                </c:pt>
                <c:pt idx="5">
                  <c:v>Aug</c:v>
                </c:pt>
                <c:pt idx="6">
                  <c:v>Sep</c:v>
                </c:pt>
                <c:pt idx="7">
                  <c:v>Oct</c:v>
                </c:pt>
                <c:pt idx="8">
                  <c:v>Nov</c:v>
                </c:pt>
                <c:pt idx="9">
                  <c:v>Dec</c:v>
                </c:pt>
                <c:pt idx="10">
                  <c:v>June</c:v>
                </c:pt>
                <c:pt idx="11">
                  <c:v>July</c:v>
                </c:pt>
              </c:strCache>
            </c:strRef>
          </c:cat>
          <c:val>
            <c:numRef>
              <c:f>Sheet2!$K$4:$K$16</c:f>
              <c:numCache>
                <c:formatCode>General</c:formatCode>
                <c:ptCount val="12"/>
                <c:pt idx="0">
                  <c:v>250</c:v>
                </c:pt>
                <c:pt idx="1">
                  <c:v>0</c:v>
                </c:pt>
                <c:pt idx="2">
                  <c:v>375</c:v>
                </c:pt>
                <c:pt idx="3">
                  <c:v>500</c:v>
                </c:pt>
                <c:pt idx="4">
                  <c:v>400</c:v>
                </c:pt>
                <c:pt idx="5">
                  <c:v>546</c:v>
                </c:pt>
                <c:pt idx="6">
                  <c:v>789</c:v>
                </c:pt>
                <c:pt idx="7">
                  <c:v>479</c:v>
                </c:pt>
                <c:pt idx="8">
                  <c:v>299</c:v>
                </c:pt>
                <c:pt idx="9">
                  <c:v>783</c:v>
                </c:pt>
                <c:pt idx="10">
                  <c:v>575</c:v>
                </c:pt>
                <c:pt idx="11">
                  <c:v>699</c:v>
                </c:pt>
              </c:numCache>
            </c:numRef>
          </c:val>
          <c:smooth val="0"/>
          <c:extLst>
            <c:ext xmlns:c16="http://schemas.microsoft.com/office/drawing/2014/chart" uri="{C3380CC4-5D6E-409C-BE32-E72D297353CC}">
              <c16:uniqueId val="{00000000-8BF3-4AEF-82A2-99B93ED8A863}"/>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58321791"/>
        <c:axId val="1158327199"/>
      </c:lineChart>
      <c:catAx>
        <c:axId val="115832179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58327199"/>
        <c:crosses val="autoZero"/>
        <c:auto val="1"/>
        <c:lblAlgn val="ctr"/>
        <c:lblOffset val="100"/>
        <c:noMultiLvlLbl val="0"/>
      </c:catAx>
      <c:valAx>
        <c:axId val="1158327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5832179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jp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15240</xdr:colOff>
      <xdr:row>16</xdr:row>
      <xdr:rowOff>110490</xdr:rowOff>
    </xdr:from>
    <xdr:to>
      <xdr:col>2</xdr:col>
      <xdr:colOff>441960</xdr:colOff>
      <xdr:row>28</xdr:row>
      <xdr:rowOff>30480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457200</xdr:colOff>
      <xdr:row>16</xdr:row>
      <xdr:rowOff>179070</xdr:rowOff>
    </xdr:from>
    <xdr:to>
      <xdr:col>6</xdr:col>
      <xdr:colOff>838200</xdr:colOff>
      <xdr:row>27</xdr:row>
      <xdr:rowOff>60960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76200</xdr:colOff>
      <xdr:row>17</xdr:row>
      <xdr:rowOff>19050</xdr:rowOff>
    </xdr:from>
    <xdr:to>
      <xdr:col>10</xdr:col>
      <xdr:colOff>480060</xdr:colOff>
      <xdr:row>27</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556260</xdr:colOff>
      <xdr:row>17</xdr:row>
      <xdr:rowOff>80010</xdr:rowOff>
    </xdr:from>
    <xdr:to>
      <xdr:col>13</xdr:col>
      <xdr:colOff>312420</xdr:colOff>
      <xdr:row>27</xdr:row>
      <xdr:rowOff>7620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914400</xdr:colOff>
      <xdr:row>28</xdr:row>
      <xdr:rowOff>45720</xdr:rowOff>
    </xdr:from>
    <xdr:to>
      <xdr:col>3</xdr:col>
      <xdr:colOff>45720</xdr:colOff>
      <xdr:row>41</xdr:row>
      <xdr:rowOff>135255</xdr:rowOff>
    </xdr:to>
    <mc:AlternateContent xmlns:mc="http://schemas.openxmlformats.org/markup-compatibility/2006" xmlns:a14="http://schemas.microsoft.com/office/drawing/2010/main">
      <mc:Choice Requires="a14">
        <xdr:graphicFrame macro="">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27860" y="5166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38100</xdr:rowOff>
    </xdr:from>
    <xdr:to>
      <xdr:col>1</xdr:col>
      <xdr:colOff>815340</xdr:colOff>
      <xdr:row>41</xdr:row>
      <xdr:rowOff>127635</xdr:rowOff>
    </xdr:to>
    <mc:AlternateContent xmlns:mc="http://schemas.openxmlformats.org/markup-compatibility/2006" xmlns:a14="http://schemas.microsoft.com/office/drawing/2010/main">
      <mc:Choice Requires="a14">
        <xdr:graphicFrame macro="">
          <xdr:nvGraphicFramePr>
            <xdr:cNvPr id="14" name="Total Monthly Expenditure"/>
            <xdr:cNvGraphicFramePr/>
          </xdr:nvGraphicFramePr>
          <xdr:xfrm>
            <a:off x="0" y="0"/>
            <a:ext cx="0" cy="0"/>
          </xdr:xfrm>
          <a:graphic>
            <a:graphicData uri="http://schemas.microsoft.com/office/drawing/2010/slicer">
              <sle:slicer xmlns:sle="http://schemas.microsoft.com/office/drawing/2010/slicer" name="Total Monthly Expenditure"/>
            </a:graphicData>
          </a:graphic>
        </xdr:graphicFrame>
      </mc:Choice>
      <mc:Fallback xmlns="">
        <xdr:sp macro="" textlink="">
          <xdr:nvSpPr>
            <xdr:cNvPr id="0" name=""/>
            <xdr:cNvSpPr>
              <a:spLocks noTextEdit="1"/>
            </xdr:cNvSpPr>
          </xdr:nvSpPr>
          <xdr:spPr>
            <a:xfrm>
              <a:off x="0" y="5158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28</xdr:row>
      <xdr:rowOff>91440</xdr:rowOff>
    </xdr:from>
    <xdr:to>
      <xdr:col>5</xdr:col>
      <xdr:colOff>358140</xdr:colOff>
      <xdr:row>41</xdr:row>
      <xdr:rowOff>180975</xdr:rowOff>
    </xdr:to>
    <mc:AlternateContent xmlns:mc="http://schemas.openxmlformats.org/markup-compatibility/2006" xmlns:a14="http://schemas.microsoft.com/office/drawing/2010/main">
      <mc:Choice Requires="a14">
        <xdr:graphicFrame macro="">
          <xdr:nvGraphicFramePr>
            <xdr:cNvPr id="16" name="Savings"/>
            <xdr:cNvGraphicFramePr/>
          </xdr:nvGraphicFramePr>
          <xdr:xfrm>
            <a:off x="0" y="0"/>
            <a:ext cx="0" cy="0"/>
          </xdr:xfrm>
          <a:graphic>
            <a:graphicData uri="http://schemas.microsoft.com/office/drawing/2010/slicer">
              <sle:slicer xmlns:sle="http://schemas.microsoft.com/office/drawing/2010/slicer" name="Savings"/>
            </a:graphicData>
          </a:graphic>
        </xdr:graphicFrame>
      </mc:Choice>
      <mc:Fallback xmlns="">
        <xdr:sp macro="" textlink="">
          <xdr:nvSpPr>
            <xdr:cNvPr id="0" name=""/>
            <xdr:cNvSpPr>
              <a:spLocks noTextEdit="1"/>
            </xdr:cNvSpPr>
          </xdr:nvSpPr>
          <xdr:spPr>
            <a:xfrm>
              <a:off x="3901440" y="5212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8467</xdr:colOff>
      <xdr:row>0</xdr:row>
      <xdr:rowOff>37252</xdr:rowOff>
    </xdr:from>
    <xdr:to>
      <xdr:col>15</xdr:col>
      <xdr:colOff>355599</xdr:colOff>
      <xdr:row>5</xdr:row>
      <xdr:rowOff>159172</xdr:rowOff>
    </xdr:to>
    <xdr:sp macro="" textlink="">
      <xdr:nvSpPr>
        <xdr:cNvPr id="2" name="Rounded Rectangle 1"/>
        <xdr:cNvSpPr/>
      </xdr:nvSpPr>
      <xdr:spPr>
        <a:xfrm>
          <a:off x="8467" y="37252"/>
          <a:ext cx="9491132" cy="105325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5" algn="l"/>
          <a:r>
            <a:rPr lang="en-IN" sz="1600" b="1">
              <a:solidFill>
                <a:schemeClr val="tx1"/>
              </a:solidFill>
              <a:latin typeface="Bahnschrift SemiBold" panose="020B0502040204020203" pitchFamily="34" charset="0"/>
            </a:rPr>
            <a:t>MONTHLY</a:t>
          </a:r>
          <a:r>
            <a:rPr lang="en-IN" sz="1600" b="1" baseline="0">
              <a:solidFill>
                <a:schemeClr val="tx1"/>
              </a:solidFill>
              <a:latin typeface="Bahnschrift SemiBold" panose="020B0502040204020203" pitchFamily="34" charset="0"/>
            </a:rPr>
            <a:t> SAVINGS FINANCIAL DASHBOARD</a:t>
          </a:r>
          <a:endParaRPr lang="en-IN" sz="1600" b="1">
            <a:solidFill>
              <a:schemeClr val="tx1"/>
            </a:solidFill>
            <a:latin typeface="Bahnschrift SemiBold" panose="020B0502040204020203" pitchFamily="34" charset="0"/>
          </a:endParaRPr>
        </a:p>
      </xdr:txBody>
    </xdr:sp>
    <xdr:clientData/>
  </xdr:twoCellAnchor>
  <xdr:twoCellAnchor>
    <xdr:from>
      <xdr:col>4</xdr:col>
      <xdr:colOff>214207</xdr:colOff>
      <xdr:row>6</xdr:row>
      <xdr:rowOff>50798</xdr:rowOff>
    </xdr:from>
    <xdr:to>
      <xdr:col>8</xdr:col>
      <xdr:colOff>305647</xdr:colOff>
      <xdr:row>11</xdr:row>
      <xdr:rowOff>58418</xdr:rowOff>
    </xdr:to>
    <xdr:grpSp>
      <xdr:nvGrpSpPr>
        <xdr:cNvPr id="13" name="Group 12"/>
        <xdr:cNvGrpSpPr/>
      </xdr:nvGrpSpPr>
      <xdr:grpSpPr>
        <a:xfrm>
          <a:off x="2652607" y="1168398"/>
          <a:ext cx="2529840" cy="938953"/>
          <a:chOff x="30480" y="1287780"/>
          <a:chExt cx="2529840" cy="922020"/>
        </a:xfrm>
      </xdr:grpSpPr>
      <xdr:sp macro="" textlink="">
        <xdr:nvSpPr>
          <xdr:cNvPr id="14" name="Rounded Rectangle 13"/>
          <xdr:cNvSpPr/>
        </xdr:nvSpPr>
        <xdr:spPr>
          <a:xfrm>
            <a:off x="30480" y="1287780"/>
            <a:ext cx="2529840" cy="92202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ounded Rectangle 14"/>
          <xdr:cNvSpPr/>
        </xdr:nvSpPr>
        <xdr:spPr>
          <a:xfrm>
            <a:off x="38100" y="1303020"/>
            <a:ext cx="1089660" cy="89154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346289</xdr:colOff>
      <xdr:row>6</xdr:row>
      <xdr:rowOff>49950</xdr:rowOff>
    </xdr:from>
    <xdr:to>
      <xdr:col>13</xdr:col>
      <xdr:colOff>33869</xdr:colOff>
      <xdr:row>11</xdr:row>
      <xdr:rowOff>57570</xdr:rowOff>
    </xdr:to>
    <xdr:grpSp>
      <xdr:nvGrpSpPr>
        <xdr:cNvPr id="16" name="Group 15"/>
        <xdr:cNvGrpSpPr/>
      </xdr:nvGrpSpPr>
      <xdr:grpSpPr>
        <a:xfrm>
          <a:off x="5223089" y="1167550"/>
          <a:ext cx="2735580" cy="938953"/>
          <a:chOff x="30480" y="1287780"/>
          <a:chExt cx="2529840" cy="922020"/>
        </a:xfrm>
      </xdr:grpSpPr>
      <xdr:sp macro="" textlink="">
        <xdr:nvSpPr>
          <xdr:cNvPr id="17" name="Rounded Rectangle 16"/>
          <xdr:cNvSpPr/>
        </xdr:nvSpPr>
        <xdr:spPr>
          <a:xfrm>
            <a:off x="30480" y="1287780"/>
            <a:ext cx="2529840" cy="92202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ounded Rectangle 17"/>
          <xdr:cNvSpPr/>
        </xdr:nvSpPr>
        <xdr:spPr>
          <a:xfrm>
            <a:off x="38100" y="1303020"/>
            <a:ext cx="1089660" cy="89154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60959</xdr:colOff>
      <xdr:row>11</xdr:row>
      <xdr:rowOff>93132</xdr:rowOff>
    </xdr:from>
    <xdr:to>
      <xdr:col>13</xdr:col>
      <xdr:colOff>0</xdr:colOff>
      <xdr:row>36</xdr:row>
      <xdr:rowOff>152398</xdr:rowOff>
    </xdr:to>
    <xdr:sp macro="" textlink="">
      <xdr:nvSpPr>
        <xdr:cNvPr id="19" name="Rectangle 18"/>
        <xdr:cNvSpPr/>
      </xdr:nvSpPr>
      <xdr:spPr>
        <a:xfrm>
          <a:off x="60959" y="2142065"/>
          <a:ext cx="7863841" cy="4715933"/>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76199</xdr:colOff>
      <xdr:row>6</xdr:row>
      <xdr:rowOff>11007</xdr:rowOff>
    </xdr:from>
    <xdr:to>
      <xdr:col>15</xdr:col>
      <xdr:colOff>381000</xdr:colOff>
      <xdr:row>16</xdr:row>
      <xdr:rowOff>50800</xdr:rowOff>
    </xdr:to>
    <mc:AlternateContent xmlns:mc="http://schemas.openxmlformats.org/markup-compatibility/2006" xmlns:a14="http://schemas.microsoft.com/office/drawing/2010/main">
      <mc:Choice Requires="a14">
        <xdr:graphicFrame macro="">
          <xdr:nvGraphicFramePr>
            <xdr:cNvPr id="20"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000999" y="1128607"/>
              <a:ext cx="1524001" cy="190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76199</xdr:colOff>
      <xdr:row>16</xdr:row>
      <xdr:rowOff>118534</xdr:rowOff>
    </xdr:from>
    <xdr:to>
      <xdr:col>15</xdr:col>
      <xdr:colOff>431800</xdr:colOff>
      <xdr:row>27</xdr:row>
      <xdr:rowOff>1</xdr:rowOff>
    </xdr:to>
    <mc:AlternateContent xmlns:mc="http://schemas.openxmlformats.org/markup-compatibility/2006" xmlns:a14="http://schemas.microsoft.com/office/drawing/2010/main">
      <mc:Choice Requires="a14">
        <xdr:graphicFrame macro="">
          <xdr:nvGraphicFramePr>
            <xdr:cNvPr id="21" name="Savings 1"/>
            <xdr:cNvGraphicFramePr/>
          </xdr:nvGraphicFramePr>
          <xdr:xfrm>
            <a:off x="0" y="0"/>
            <a:ext cx="0" cy="0"/>
          </xdr:xfrm>
          <a:graphic>
            <a:graphicData uri="http://schemas.microsoft.com/office/drawing/2010/slicer">
              <sle:slicer xmlns:sle="http://schemas.microsoft.com/office/drawing/2010/slicer" name="Savings 1"/>
            </a:graphicData>
          </a:graphic>
        </xdr:graphicFrame>
      </mc:Choice>
      <mc:Fallback xmlns="">
        <xdr:sp macro="" textlink="">
          <xdr:nvSpPr>
            <xdr:cNvPr id="0" name=""/>
            <xdr:cNvSpPr>
              <a:spLocks noTextEdit="1"/>
            </xdr:cNvSpPr>
          </xdr:nvSpPr>
          <xdr:spPr>
            <a:xfrm>
              <a:off x="8000999" y="3098801"/>
              <a:ext cx="1574801" cy="193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25400</xdr:colOff>
      <xdr:row>27</xdr:row>
      <xdr:rowOff>16933</xdr:rowOff>
    </xdr:from>
    <xdr:to>
      <xdr:col>15</xdr:col>
      <xdr:colOff>431800</xdr:colOff>
      <xdr:row>37</xdr:row>
      <xdr:rowOff>33865</xdr:rowOff>
    </xdr:to>
    <mc:AlternateContent xmlns:mc="http://schemas.openxmlformats.org/markup-compatibility/2006" xmlns:a14="http://schemas.microsoft.com/office/drawing/2010/main">
      <mc:Choice Requires="a14">
        <xdr:graphicFrame macro="">
          <xdr:nvGraphicFramePr>
            <xdr:cNvPr id="22" name="Total Monthly Expenditure 1"/>
            <xdr:cNvGraphicFramePr/>
          </xdr:nvGraphicFramePr>
          <xdr:xfrm>
            <a:off x="0" y="0"/>
            <a:ext cx="0" cy="0"/>
          </xdr:xfrm>
          <a:graphic>
            <a:graphicData uri="http://schemas.microsoft.com/office/drawing/2010/slicer">
              <sle:slicer xmlns:sle="http://schemas.microsoft.com/office/drawing/2010/slicer" name="Total Monthly Expenditure 1"/>
            </a:graphicData>
          </a:graphic>
        </xdr:graphicFrame>
      </mc:Choice>
      <mc:Fallback xmlns="">
        <xdr:sp macro="" textlink="">
          <xdr:nvSpPr>
            <xdr:cNvPr id="0" name=""/>
            <xdr:cNvSpPr>
              <a:spLocks noTextEdit="1"/>
            </xdr:cNvSpPr>
          </xdr:nvSpPr>
          <xdr:spPr>
            <a:xfrm>
              <a:off x="7950200" y="5046133"/>
              <a:ext cx="1625600" cy="187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77893</xdr:colOff>
      <xdr:row>11</xdr:row>
      <xdr:rowOff>135464</xdr:rowOff>
    </xdr:from>
    <xdr:to>
      <xdr:col>6</xdr:col>
      <xdr:colOff>397933</xdr:colOff>
      <xdr:row>24</xdr:row>
      <xdr:rowOff>67732</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111759</xdr:colOff>
      <xdr:row>24</xdr:row>
      <xdr:rowOff>101600</xdr:rowOff>
    </xdr:from>
    <xdr:to>
      <xdr:col>6</xdr:col>
      <xdr:colOff>372533</xdr:colOff>
      <xdr:row>36</xdr:row>
      <xdr:rowOff>118533</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414866</xdr:colOff>
      <xdr:row>11</xdr:row>
      <xdr:rowOff>160867</xdr:rowOff>
    </xdr:from>
    <xdr:to>
      <xdr:col>12</xdr:col>
      <xdr:colOff>499532</xdr:colOff>
      <xdr:row>24</xdr:row>
      <xdr:rowOff>50800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431799</xdr:colOff>
      <xdr:row>24</xdr:row>
      <xdr:rowOff>118533</xdr:rowOff>
    </xdr:from>
    <xdr:to>
      <xdr:col>12</xdr:col>
      <xdr:colOff>541867</xdr:colOff>
      <xdr:row>36</xdr:row>
      <xdr:rowOff>127000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4</xdr:col>
      <xdr:colOff>143933</xdr:colOff>
      <xdr:row>3</xdr:row>
      <xdr:rowOff>84667</xdr:rowOff>
    </xdr:from>
    <xdr:ext cx="311731" cy="342786"/>
    <xdr:sp macro="" textlink="">
      <xdr:nvSpPr>
        <xdr:cNvPr id="3" name="TextBox 2"/>
        <xdr:cNvSpPr txBox="1"/>
      </xdr:nvSpPr>
      <xdr:spPr>
        <a:xfrm>
          <a:off x="2582333" y="643467"/>
          <a:ext cx="31173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600"/>
        </a:p>
      </xdr:txBody>
    </xdr:sp>
    <xdr:clientData/>
  </xdr:oneCellAnchor>
  <xdr:oneCellAnchor>
    <xdr:from>
      <xdr:col>5</xdr:col>
      <xdr:colOff>347134</xdr:colOff>
      <xdr:row>3</xdr:row>
      <xdr:rowOff>25400</xdr:rowOff>
    </xdr:from>
    <xdr:ext cx="2458889" cy="369397"/>
    <xdr:sp macro="" textlink="">
      <xdr:nvSpPr>
        <xdr:cNvPr id="7" name="TextBox 6"/>
        <xdr:cNvSpPr txBox="1"/>
      </xdr:nvSpPr>
      <xdr:spPr>
        <a:xfrm>
          <a:off x="3395134" y="584200"/>
          <a:ext cx="2458889" cy="369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latin typeface="Bahnschrift SemiBold Condensed" panose="020B0502040204020203" pitchFamily="34" charset="0"/>
            </a:rPr>
            <a:t>SAVINGS DASHBOARD</a:t>
          </a:r>
        </a:p>
      </xdr:txBody>
    </xdr:sp>
    <xdr:clientData/>
  </xdr:oneCellAnchor>
  <xdr:twoCellAnchor>
    <xdr:from>
      <xdr:col>0</xdr:col>
      <xdr:colOff>127000</xdr:colOff>
      <xdr:row>6</xdr:row>
      <xdr:rowOff>42333</xdr:rowOff>
    </xdr:from>
    <xdr:to>
      <xdr:col>4</xdr:col>
      <xdr:colOff>175259</xdr:colOff>
      <xdr:row>11</xdr:row>
      <xdr:rowOff>41485</xdr:rowOff>
    </xdr:to>
    <xdr:grpSp>
      <xdr:nvGrpSpPr>
        <xdr:cNvPr id="9" name="Group 8"/>
        <xdr:cNvGrpSpPr/>
      </xdr:nvGrpSpPr>
      <xdr:grpSpPr>
        <a:xfrm>
          <a:off x="127000" y="1159933"/>
          <a:ext cx="2486659" cy="930485"/>
          <a:chOff x="110066" y="1159933"/>
          <a:chExt cx="2486659" cy="930485"/>
        </a:xfrm>
      </xdr:grpSpPr>
      <xdr:sp macro="" textlink="">
        <xdr:nvSpPr>
          <xdr:cNvPr id="4" name="Rounded Rectangle 3"/>
          <xdr:cNvSpPr/>
        </xdr:nvSpPr>
        <xdr:spPr>
          <a:xfrm>
            <a:off x="110066" y="1159933"/>
            <a:ext cx="2486659" cy="93048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ounded Rectangle 7"/>
          <xdr:cNvSpPr/>
        </xdr:nvSpPr>
        <xdr:spPr>
          <a:xfrm>
            <a:off x="126999" y="1185332"/>
            <a:ext cx="1041401" cy="880535"/>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101600</xdr:colOff>
      <xdr:row>6</xdr:row>
      <xdr:rowOff>118529</xdr:rowOff>
    </xdr:from>
    <xdr:to>
      <xdr:col>3</xdr:col>
      <xdr:colOff>575733</xdr:colOff>
      <xdr:row>9</xdr:row>
      <xdr:rowOff>42333</xdr:rowOff>
    </xdr:to>
    <xdr:sp macro="" textlink="">
      <xdr:nvSpPr>
        <xdr:cNvPr id="10" name="TextBox 9"/>
        <xdr:cNvSpPr txBox="1"/>
      </xdr:nvSpPr>
      <xdr:spPr>
        <a:xfrm>
          <a:off x="1320800" y="1236129"/>
          <a:ext cx="1083733" cy="48260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MONTHLY</a:t>
          </a:r>
          <a:r>
            <a:rPr lang="en-IN" sz="1100" baseline="0"/>
            <a:t> </a:t>
          </a:r>
          <a:r>
            <a:rPr lang="en-IN" sz="1100" b="1" baseline="0"/>
            <a:t>EXPENDITURE</a:t>
          </a:r>
          <a:endParaRPr lang="en-IN" sz="1100" b="1"/>
        </a:p>
      </xdr:txBody>
    </xdr:sp>
    <xdr:clientData/>
  </xdr:twoCellAnchor>
  <xdr:twoCellAnchor>
    <xdr:from>
      <xdr:col>2</xdr:col>
      <xdr:colOff>152399</xdr:colOff>
      <xdr:row>8</xdr:row>
      <xdr:rowOff>143934</xdr:rowOff>
    </xdr:from>
    <xdr:to>
      <xdr:col>3</xdr:col>
      <xdr:colOff>592666</xdr:colOff>
      <xdr:row>10</xdr:row>
      <xdr:rowOff>110067</xdr:rowOff>
    </xdr:to>
    <xdr:sp macro="" textlink="Sheet2!$B$16">
      <xdr:nvSpPr>
        <xdr:cNvPr id="11" name="TextBox 10"/>
        <xdr:cNvSpPr txBox="1"/>
      </xdr:nvSpPr>
      <xdr:spPr>
        <a:xfrm>
          <a:off x="1371599" y="1634067"/>
          <a:ext cx="1049867" cy="33866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553239-24F5-4F6B-99E7-8C6DA28449A8}" type="TxLink">
            <a:rPr lang="en-US" sz="1800" b="1" i="0" u="none" strike="noStrike">
              <a:solidFill>
                <a:srgbClr val="000000"/>
              </a:solidFill>
              <a:latin typeface="Calibri"/>
              <a:ea typeface="Calibri"/>
              <a:cs typeface="Calibri"/>
            </a:rPr>
            <a:pPr/>
            <a:t>93703</a:t>
          </a:fld>
          <a:endParaRPr lang="en-IN" sz="1800" b="1"/>
        </a:p>
      </xdr:txBody>
    </xdr:sp>
    <xdr:clientData/>
  </xdr:twoCellAnchor>
  <xdr:oneCellAnchor>
    <xdr:from>
      <xdr:col>6</xdr:col>
      <xdr:colOff>228600</xdr:colOff>
      <xdr:row>6</xdr:row>
      <xdr:rowOff>169334</xdr:rowOff>
    </xdr:from>
    <xdr:ext cx="1092200" cy="330199"/>
    <xdr:sp macro="" textlink="">
      <xdr:nvSpPr>
        <xdr:cNvPr id="12" name="TextBox 11"/>
        <xdr:cNvSpPr txBox="1"/>
      </xdr:nvSpPr>
      <xdr:spPr>
        <a:xfrm>
          <a:off x="3886200" y="1286934"/>
          <a:ext cx="1092200" cy="330199"/>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r>
            <a:rPr lang="en-IN" sz="1600" b="1"/>
            <a:t>BUDGET</a:t>
          </a:r>
        </a:p>
      </xdr:txBody>
    </xdr:sp>
    <xdr:clientData/>
  </xdr:oneCellAnchor>
  <xdr:oneCellAnchor>
    <xdr:from>
      <xdr:col>6</xdr:col>
      <xdr:colOff>304800</xdr:colOff>
      <xdr:row>8</xdr:row>
      <xdr:rowOff>135467</xdr:rowOff>
    </xdr:from>
    <xdr:ext cx="704680" cy="342786"/>
    <xdr:sp macro="" textlink="Sheet1!H22">
      <xdr:nvSpPr>
        <xdr:cNvPr id="28" name="TextBox 27"/>
        <xdr:cNvSpPr txBox="1"/>
      </xdr:nvSpPr>
      <xdr:spPr>
        <a:xfrm>
          <a:off x="3962400" y="1625600"/>
          <a:ext cx="7046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C01613E-0BFB-4AE7-8B5C-3C8747C5A590}" type="TxLink">
            <a:rPr lang="en-US" sz="1600" b="0" i="0" u="none" strike="noStrike">
              <a:solidFill>
                <a:srgbClr val="000000"/>
              </a:solidFill>
              <a:latin typeface="Calibri"/>
              <a:ea typeface="Calibri"/>
              <a:cs typeface="Calibri"/>
            </a:rPr>
            <a:pPr/>
            <a:t>84000</a:t>
          </a:fld>
          <a:endParaRPr lang="en-IN" sz="1600"/>
        </a:p>
      </xdr:txBody>
    </xdr:sp>
    <xdr:clientData/>
  </xdr:oneCellAnchor>
  <xdr:oneCellAnchor>
    <xdr:from>
      <xdr:col>10</xdr:col>
      <xdr:colOff>389468</xdr:colOff>
      <xdr:row>6</xdr:row>
      <xdr:rowOff>110066</xdr:rowOff>
    </xdr:from>
    <xdr:ext cx="1202266" cy="405432"/>
    <xdr:sp macro="" textlink="">
      <xdr:nvSpPr>
        <xdr:cNvPr id="29" name="TextBox 28"/>
        <xdr:cNvSpPr txBox="1"/>
      </xdr:nvSpPr>
      <xdr:spPr>
        <a:xfrm>
          <a:off x="6485468" y="1227666"/>
          <a:ext cx="1202266" cy="405432"/>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a:t>SAVINGS</a:t>
          </a:r>
        </a:p>
      </xdr:txBody>
    </xdr:sp>
    <xdr:clientData/>
  </xdr:oneCellAnchor>
  <xdr:oneCellAnchor>
    <xdr:from>
      <xdr:col>10</xdr:col>
      <xdr:colOff>516468</xdr:colOff>
      <xdr:row>8</xdr:row>
      <xdr:rowOff>143933</xdr:rowOff>
    </xdr:from>
    <xdr:ext cx="860992" cy="374141"/>
    <xdr:sp macro="" textlink="Sheet1!H24">
      <xdr:nvSpPr>
        <xdr:cNvPr id="30" name="TextBox 29"/>
        <xdr:cNvSpPr txBox="1"/>
      </xdr:nvSpPr>
      <xdr:spPr>
        <a:xfrm>
          <a:off x="6612468" y="1634066"/>
          <a:ext cx="86099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01B681C-53AA-49D4-BAEB-77A765653875}" type="TxLink">
            <a:rPr lang="en-US" sz="1800" b="1" i="0" u="none" strike="noStrike">
              <a:solidFill>
                <a:srgbClr val="000000"/>
              </a:solidFill>
              <a:latin typeface="Calibri"/>
              <a:ea typeface="Calibri"/>
              <a:cs typeface="Calibri"/>
            </a:rPr>
            <a:pPr/>
            <a:t>-9703</a:t>
          </a:fld>
          <a:endParaRPr lang="en-IN" sz="1800" b="1"/>
        </a:p>
      </xdr:txBody>
    </xdr:sp>
    <xdr:clientData/>
  </xdr:oneCellAnchor>
  <xdr:twoCellAnchor editAs="oneCell">
    <xdr:from>
      <xdr:col>4</xdr:col>
      <xdr:colOff>388409</xdr:colOff>
      <xdr:row>6</xdr:row>
      <xdr:rowOff>152397</xdr:rowOff>
    </xdr:from>
    <xdr:to>
      <xdr:col>5</xdr:col>
      <xdr:colOff>541867</xdr:colOff>
      <xdr:row>10</xdr:row>
      <xdr:rowOff>170388</xdr:rowOff>
    </xdr:to>
    <xdr:pic>
      <xdr:nvPicPr>
        <xdr:cNvPr id="32" name="Picture 31"/>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826809" y="1269997"/>
          <a:ext cx="763058" cy="763058"/>
        </a:xfrm>
        <a:prstGeom prst="rect">
          <a:avLst/>
        </a:prstGeom>
      </xdr:spPr>
    </xdr:pic>
    <xdr:clientData/>
  </xdr:twoCellAnchor>
  <xdr:twoCellAnchor editAs="oneCell">
    <xdr:from>
      <xdr:col>8</xdr:col>
      <xdr:colOff>414867</xdr:colOff>
      <xdr:row>7</xdr:row>
      <xdr:rowOff>9525</xdr:rowOff>
    </xdr:from>
    <xdr:to>
      <xdr:col>9</xdr:col>
      <xdr:colOff>533400</xdr:colOff>
      <xdr:row>10</xdr:row>
      <xdr:rowOff>178858</xdr:rowOff>
    </xdr:to>
    <xdr:pic>
      <xdr:nvPicPr>
        <xdr:cNvPr id="33" name="Picture 32"/>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291667" y="1313392"/>
          <a:ext cx="728133" cy="728133"/>
        </a:xfrm>
        <a:prstGeom prst="rect">
          <a:avLst/>
        </a:prstGeom>
      </xdr:spPr>
    </xdr:pic>
    <xdr:clientData/>
  </xdr:twoCellAnchor>
  <xdr:twoCellAnchor editAs="oneCell">
    <xdr:from>
      <xdr:col>0</xdr:col>
      <xdr:colOff>169334</xdr:colOff>
      <xdr:row>6</xdr:row>
      <xdr:rowOff>117452</xdr:rowOff>
    </xdr:from>
    <xdr:to>
      <xdr:col>1</xdr:col>
      <xdr:colOff>469900</xdr:colOff>
      <xdr:row>10</xdr:row>
      <xdr:rowOff>88899</xdr:rowOff>
    </xdr:to>
    <xdr:pic>
      <xdr:nvPicPr>
        <xdr:cNvPr id="34" name="Picture 33"/>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69334" y="1235052"/>
          <a:ext cx="910166" cy="71651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41.892854745369" createdVersion="6" refreshedVersion="6" minRefreshableVersion="3" recordCount="12">
  <cacheSource type="worksheet">
    <worksheetSource name="Table1"/>
  </cacheSource>
  <cacheFields count="9">
    <cacheField name="Month" numFmtId="0">
      <sharedItems count="12">
        <s v="Jan"/>
        <s v="Feb"/>
        <s v="Mar"/>
        <s v="Apr"/>
        <s v="May"/>
        <s v="June"/>
        <s v="July"/>
        <s v="Aug"/>
        <s v="Sep"/>
        <s v="Oct"/>
        <s v="Nov"/>
        <s v="Dec"/>
      </sharedItems>
    </cacheField>
    <cacheField name="Category" numFmtId="0">
      <sharedItems containsNonDate="0" containsString="0" containsBlank="1" count="1">
        <m/>
      </sharedItems>
    </cacheField>
    <cacheField name="Rent" numFmtId="0">
      <sharedItems containsSemiMixedTypes="0" containsString="0" containsNumber="1" containsInteger="1" minValue="4500" maxValue="4500" count="1">
        <n v="4500"/>
      </sharedItems>
    </cacheField>
    <cacheField name="Food" numFmtId="0">
      <sharedItems containsSemiMixedTypes="0" containsString="0" containsNumber="1" containsInteger="1" minValue="1648" maxValue="2356" count="12">
        <n v="1700"/>
        <n v="1800"/>
        <n v="2300"/>
        <n v="2100"/>
        <n v="2000"/>
        <n v="2200"/>
        <n v="1878"/>
        <n v="2245"/>
        <n v="2356"/>
        <n v="2189"/>
        <n v="1979"/>
        <n v="1648"/>
      </sharedItems>
    </cacheField>
    <cacheField name="Transport" numFmtId="0">
      <sharedItems containsSemiMixedTypes="0" containsString="0" containsNumber="1" containsInteger="1" minValue="500" maxValue="1090" count="12">
        <n v="500"/>
        <n v="675"/>
        <n v="900"/>
        <n v="855"/>
        <n v="770"/>
        <n v="1010"/>
        <n v="925"/>
        <n v="550"/>
        <n v="880"/>
        <n v="673"/>
        <n v="785"/>
        <n v="1090"/>
      </sharedItems>
    </cacheField>
    <cacheField name="Entertainment" numFmtId="0">
      <sharedItems containsSemiMixedTypes="0" containsString="0" containsNumber="1" containsInteger="1" minValue="0" maxValue="789" count="12">
        <n v="250"/>
        <n v="0"/>
        <n v="375"/>
        <n v="500"/>
        <n v="400"/>
        <n v="575"/>
        <n v="699"/>
        <n v="546"/>
        <n v="789"/>
        <n v="479"/>
        <n v="299"/>
        <n v="783"/>
      </sharedItems>
    </cacheField>
    <cacheField name="Total Monthly Expenditure" numFmtId="0">
      <sharedItems containsSemiMixedTypes="0" containsString="0" containsNumber="1" containsInteger="1" minValue="6950" maxValue="8525" count="11">
        <n v="6950"/>
        <n v="6975"/>
        <n v="8075"/>
        <n v="7955"/>
        <n v="7670"/>
        <n v="8285"/>
        <n v="8002"/>
        <n v="7841"/>
        <n v="8525"/>
        <n v="7563"/>
        <n v="8021"/>
      </sharedItems>
    </cacheField>
    <cacheField name="Budget" numFmtId="0">
      <sharedItems containsSemiMixedTypes="0" containsString="0" containsNumber="1" containsInteger="1" minValue="7000" maxValue="7000" count="1">
        <n v="7000"/>
      </sharedItems>
    </cacheField>
    <cacheField name="Savings" numFmtId="0">
      <sharedItems containsSemiMixedTypes="0" containsString="0" containsNumber="1" containsInteger="1" minValue="-1525" maxValue="50" count="11">
        <n v="50"/>
        <n v="25"/>
        <n v="-1075"/>
        <n v="-955"/>
        <n v="-670"/>
        <n v="-1285"/>
        <n v="-1002"/>
        <n v="-841"/>
        <n v="-1525"/>
        <n v="-563"/>
        <n v="-102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
  <r>
    <x v="0"/>
    <x v="0"/>
    <x v="0"/>
    <x v="0"/>
    <x v="0"/>
    <x v="0"/>
    <x v="0"/>
    <x v="0"/>
    <x v="0"/>
  </r>
  <r>
    <x v="1"/>
    <x v="0"/>
    <x v="0"/>
    <x v="1"/>
    <x v="1"/>
    <x v="1"/>
    <x v="1"/>
    <x v="0"/>
    <x v="1"/>
  </r>
  <r>
    <x v="2"/>
    <x v="0"/>
    <x v="0"/>
    <x v="2"/>
    <x v="2"/>
    <x v="2"/>
    <x v="2"/>
    <x v="0"/>
    <x v="2"/>
  </r>
  <r>
    <x v="3"/>
    <x v="0"/>
    <x v="0"/>
    <x v="3"/>
    <x v="3"/>
    <x v="3"/>
    <x v="3"/>
    <x v="0"/>
    <x v="3"/>
  </r>
  <r>
    <x v="4"/>
    <x v="0"/>
    <x v="0"/>
    <x v="4"/>
    <x v="4"/>
    <x v="4"/>
    <x v="4"/>
    <x v="0"/>
    <x v="4"/>
  </r>
  <r>
    <x v="5"/>
    <x v="0"/>
    <x v="0"/>
    <x v="5"/>
    <x v="5"/>
    <x v="5"/>
    <x v="5"/>
    <x v="0"/>
    <x v="5"/>
  </r>
  <r>
    <x v="6"/>
    <x v="0"/>
    <x v="0"/>
    <x v="6"/>
    <x v="6"/>
    <x v="6"/>
    <x v="6"/>
    <x v="0"/>
    <x v="6"/>
  </r>
  <r>
    <x v="7"/>
    <x v="0"/>
    <x v="0"/>
    <x v="7"/>
    <x v="7"/>
    <x v="7"/>
    <x v="7"/>
    <x v="0"/>
    <x v="7"/>
  </r>
  <r>
    <x v="8"/>
    <x v="0"/>
    <x v="0"/>
    <x v="8"/>
    <x v="8"/>
    <x v="8"/>
    <x v="8"/>
    <x v="0"/>
    <x v="8"/>
  </r>
  <r>
    <x v="9"/>
    <x v="0"/>
    <x v="0"/>
    <x v="9"/>
    <x v="9"/>
    <x v="9"/>
    <x v="7"/>
    <x v="0"/>
    <x v="7"/>
  </r>
  <r>
    <x v="10"/>
    <x v="0"/>
    <x v="0"/>
    <x v="10"/>
    <x v="10"/>
    <x v="10"/>
    <x v="9"/>
    <x v="0"/>
    <x v="9"/>
  </r>
  <r>
    <x v="11"/>
    <x v="0"/>
    <x v="0"/>
    <x v="11"/>
    <x v="11"/>
    <x v="11"/>
    <x v="10"/>
    <x v="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3:H16" firstHeaderRow="1" firstDataRow="1" firstDataCol="1"/>
  <pivotFields count="9">
    <pivotField axis="axisRow" showAll="0">
      <items count="13">
        <item x="0"/>
        <item x="1"/>
        <item x="2"/>
        <item x="3"/>
        <item x="4"/>
        <item x="7"/>
        <item x="8"/>
        <item x="9"/>
        <item x="10"/>
        <item x="11"/>
        <item x="5"/>
        <item x="6"/>
        <item t="default"/>
      </items>
    </pivotField>
    <pivotField showAll="0"/>
    <pivotField showAll="0"/>
    <pivotField showAll="0"/>
    <pivotField dataField="1"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Transport" fld="4" baseField="0" baseItem="0"/>
  </dataFields>
  <formats count="21">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outline="0" axis="axisValues"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outline="0" axis="axisValues"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outline="0" axis="axisValues"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2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 chart="1" format="7">
      <pivotArea type="data" outline="0" fieldPosition="0">
        <references count="2">
          <reference field="4294967294" count="1" selected="0">
            <x v="0"/>
          </reference>
          <reference field="0" count="1" selected="0">
            <x v="6"/>
          </reference>
        </references>
      </pivotArea>
    </chartFormat>
    <chartFormat chart="1" format="8">
      <pivotArea type="data" outline="0" fieldPosition="0">
        <references count="2">
          <reference field="4294967294" count="1" selected="0">
            <x v="0"/>
          </reference>
          <reference field="0" count="1" selected="0">
            <x v="7"/>
          </reference>
        </references>
      </pivotArea>
    </chartFormat>
    <chartFormat chart="1" format="9">
      <pivotArea type="data" outline="0" fieldPosition="0">
        <references count="2">
          <reference field="4294967294" count="1" selected="0">
            <x v="0"/>
          </reference>
          <reference field="0" count="1" selected="0">
            <x v="8"/>
          </reference>
        </references>
      </pivotArea>
    </chartFormat>
    <chartFormat chart="1" format="10">
      <pivotArea type="data" outline="0" fieldPosition="0">
        <references count="2">
          <reference field="4294967294" count="1" selected="0">
            <x v="0"/>
          </reference>
          <reference field="0" count="1" selected="0">
            <x v="9"/>
          </reference>
        </references>
      </pivotArea>
    </chartFormat>
    <chartFormat chart="1" format="11">
      <pivotArea type="data" outline="0" fieldPosition="0">
        <references count="2">
          <reference field="4294967294" count="1" selected="0">
            <x v="0"/>
          </reference>
          <reference field="0" count="1" selected="0">
            <x v="10"/>
          </reference>
        </references>
      </pivotArea>
    </chartFormat>
    <chartFormat chart="3" format="39" series="1">
      <pivotArea type="data" outline="0" fieldPosition="0">
        <references count="1">
          <reference field="4294967294" count="1" selected="0">
            <x v="0"/>
          </reference>
        </references>
      </pivotArea>
    </chartFormat>
    <chartFormat chart="3" format="40">
      <pivotArea type="data" outline="0" fieldPosition="0">
        <references count="2">
          <reference field="4294967294" count="1" selected="0">
            <x v="0"/>
          </reference>
          <reference field="0" count="1" selected="0">
            <x v="0"/>
          </reference>
        </references>
      </pivotArea>
    </chartFormat>
    <chartFormat chart="3" format="41">
      <pivotArea type="data" outline="0" fieldPosition="0">
        <references count="2">
          <reference field="4294967294" count="1" selected="0">
            <x v="0"/>
          </reference>
          <reference field="0" count="1" selected="0">
            <x v="1"/>
          </reference>
        </references>
      </pivotArea>
    </chartFormat>
    <chartFormat chart="3" format="42">
      <pivotArea type="data" outline="0" fieldPosition="0">
        <references count="2">
          <reference field="4294967294" count="1" selected="0">
            <x v="0"/>
          </reference>
          <reference field="0" count="1" selected="0">
            <x v="2"/>
          </reference>
        </references>
      </pivotArea>
    </chartFormat>
    <chartFormat chart="3" format="43">
      <pivotArea type="data" outline="0" fieldPosition="0">
        <references count="2">
          <reference field="4294967294" count="1" selected="0">
            <x v="0"/>
          </reference>
          <reference field="0" count="1" selected="0">
            <x v="3"/>
          </reference>
        </references>
      </pivotArea>
    </chartFormat>
    <chartFormat chart="3" format="44">
      <pivotArea type="data" outline="0" fieldPosition="0">
        <references count="2">
          <reference field="4294967294" count="1" selected="0">
            <x v="0"/>
          </reference>
          <reference field="0" count="1" selected="0">
            <x v="4"/>
          </reference>
        </references>
      </pivotArea>
    </chartFormat>
    <chartFormat chart="3" format="45">
      <pivotArea type="data" outline="0" fieldPosition="0">
        <references count="2">
          <reference field="4294967294" count="1" selected="0">
            <x v="0"/>
          </reference>
          <reference field="0" count="1" selected="0">
            <x v="5"/>
          </reference>
        </references>
      </pivotArea>
    </chartFormat>
    <chartFormat chart="3" format="46">
      <pivotArea type="data" outline="0" fieldPosition="0">
        <references count="2">
          <reference field="4294967294" count="1" selected="0">
            <x v="0"/>
          </reference>
          <reference field="0" count="1" selected="0">
            <x v="6"/>
          </reference>
        </references>
      </pivotArea>
    </chartFormat>
    <chartFormat chart="3" format="47">
      <pivotArea type="data" outline="0" fieldPosition="0">
        <references count="2">
          <reference field="4294967294" count="1" selected="0">
            <x v="0"/>
          </reference>
          <reference field="0" count="1" selected="0">
            <x v="7"/>
          </reference>
        </references>
      </pivotArea>
    </chartFormat>
    <chartFormat chart="3" format="48">
      <pivotArea type="data" outline="0" fieldPosition="0">
        <references count="2">
          <reference field="4294967294" count="1" selected="0">
            <x v="0"/>
          </reference>
          <reference field="0" count="1" selected="0">
            <x v="8"/>
          </reference>
        </references>
      </pivotArea>
    </chartFormat>
    <chartFormat chart="3" format="49">
      <pivotArea type="data" outline="0" fieldPosition="0">
        <references count="2">
          <reference field="4294967294" count="1" selected="0">
            <x v="0"/>
          </reference>
          <reference field="0" count="1" selected="0">
            <x v="9"/>
          </reference>
        </references>
      </pivotArea>
    </chartFormat>
    <chartFormat chart="3" format="50">
      <pivotArea type="data" outline="0" fieldPosition="0">
        <references count="2">
          <reference field="4294967294" count="1" selected="0">
            <x v="0"/>
          </reference>
          <reference field="0" count="1" selected="0">
            <x v="10"/>
          </reference>
        </references>
      </pivotArea>
    </chartFormat>
    <chartFormat chart="3" format="51">
      <pivotArea type="data" outline="0" fieldPosition="0">
        <references count="2">
          <reference field="4294967294" count="1" selected="0">
            <x v="0"/>
          </reference>
          <reference field="0" count="1" selected="0">
            <x v="11"/>
          </reference>
        </references>
      </pivotArea>
    </chartFormat>
    <chartFormat chart="1" format="13">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3:E16" firstHeaderRow="1" firstDataRow="1" firstDataCol="1"/>
  <pivotFields count="9">
    <pivotField axis="axisRow" showAll="0">
      <items count="13">
        <item x="0"/>
        <item x="1"/>
        <item x="2"/>
        <item x="3"/>
        <item x="4"/>
        <item x="7"/>
        <item x="8"/>
        <item x="9"/>
        <item x="10"/>
        <item x="11"/>
        <item x="5"/>
        <item x="6"/>
        <item t="default"/>
      </items>
    </pivotField>
    <pivotField showAll="0"/>
    <pivotField showAll="0"/>
    <pivotField dataField="1"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Food" fld="3" baseField="0" baseItem="0"/>
  </dataFields>
  <formats count="21">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outline="0" axis="axisValues" fieldPosition="0"/>
    </format>
    <format dxfId="37">
      <pivotArea dataOnly="0" labelOnly="1" fieldPosition="0">
        <references count="1">
          <reference field="0" count="0"/>
        </references>
      </pivotArea>
    </format>
    <format dxfId="36">
      <pivotArea dataOnly="0" labelOnly="1" grandRow="1" outline="0"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outline="0" axis="axisValues"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outline="0" axis="axisValues"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9">
    <pivotField axis="axisRow" showAll="0">
      <items count="13">
        <item x="0"/>
        <item x="1"/>
        <item x="2"/>
        <item x="3"/>
        <item x="4"/>
        <item x="7"/>
        <item x="8"/>
        <item x="9"/>
        <item x="10"/>
        <item x="11"/>
        <item x="5"/>
        <item x="6"/>
        <item t="default"/>
      </items>
    </pivotField>
    <pivotField showAll="0">
      <items count="2">
        <item x="0"/>
        <item t="default"/>
      </items>
    </pivotField>
    <pivotField showAll="0">
      <items count="2">
        <item x="0"/>
        <item t="default"/>
      </items>
    </pivotField>
    <pivotField showAll="0">
      <items count="13">
        <item x="11"/>
        <item x="0"/>
        <item x="1"/>
        <item x="6"/>
        <item x="10"/>
        <item x="4"/>
        <item x="3"/>
        <item x="9"/>
        <item x="5"/>
        <item x="7"/>
        <item x="2"/>
        <item x="8"/>
        <item t="default"/>
      </items>
    </pivotField>
    <pivotField showAll="0">
      <items count="13">
        <item x="0"/>
        <item x="7"/>
        <item x="9"/>
        <item x="1"/>
        <item x="4"/>
        <item x="10"/>
        <item x="3"/>
        <item x="8"/>
        <item x="2"/>
        <item x="6"/>
        <item x="5"/>
        <item x="11"/>
        <item t="default"/>
      </items>
    </pivotField>
    <pivotField showAll="0">
      <items count="13">
        <item x="1"/>
        <item x="0"/>
        <item x="10"/>
        <item x="2"/>
        <item x="4"/>
        <item x="9"/>
        <item x="3"/>
        <item x="7"/>
        <item x="5"/>
        <item x="6"/>
        <item x="11"/>
        <item x="8"/>
        <item t="default"/>
      </items>
    </pivotField>
    <pivotField dataField="1" showAll="0">
      <items count="12">
        <item x="0"/>
        <item x="1"/>
        <item x="9"/>
        <item x="4"/>
        <item x="7"/>
        <item x="3"/>
        <item x="6"/>
        <item x="10"/>
        <item x="2"/>
        <item x="5"/>
        <item x="8"/>
        <item t="default"/>
      </items>
    </pivotField>
    <pivotField showAll="0">
      <items count="2">
        <item x="0"/>
        <item t="default"/>
      </items>
    </pivotField>
    <pivotField showAll="0">
      <items count="12">
        <item x="8"/>
        <item x="5"/>
        <item x="2"/>
        <item x="10"/>
        <item x="6"/>
        <item x="3"/>
        <item x="7"/>
        <item x="4"/>
        <item x="9"/>
        <item x="1"/>
        <item x="0"/>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Sum of Total Monthly Expenditure" fld="6" baseField="0" baseItem="0"/>
  </dataFields>
  <formats count="21">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outline="0" axis="axisValues"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outline="0" axis="axisValues" fieldPosition="0"/>
    </format>
    <format dxfId="51">
      <pivotArea dataOnly="0" labelOnly="1" fieldPosition="0">
        <references count="1">
          <reference field="0" count="0"/>
        </references>
      </pivotArea>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outline="0" axis="axisValues"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J3:K16" firstHeaderRow="1" firstDataRow="1" firstDataCol="1"/>
  <pivotFields count="9">
    <pivotField axis="axisRow" showAll="0">
      <items count="13">
        <item x="0"/>
        <item x="1"/>
        <item x="2"/>
        <item x="3"/>
        <item x="4"/>
        <item x="7"/>
        <item x="8"/>
        <item x="9"/>
        <item x="10"/>
        <item x="11"/>
        <item x="5"/>
        <item x="6"/>
        <item t="default"/>
      </items>
    </pivotField>
    <pivotField showAll="0"/>
    <pivotField showAll="0"/>
    <pivotField showAll="0"/>
    <pivotField showAll="0"/>
    <pivotField dataField="1"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Entertainment" fld="5" baseField="0" baseItem="0"/>
  </dataFields>
  <formats count="21">
    <format dxfId="83">
      <pivotArea type="all" dataOnly="0" outline="0" fieldPosition="0"/>
    </format>
    <format dxfId="82">
      <pivotArea outline="0" collapsedLevelsAreSubtotals="1" fieldPosition="0"/>
    </format>
    <format dxfId="81">
      <pivotArea field="0" type="button" dataOnly="0" labelOnly="1" outline="0" axis="axisRow" fieldPosition="0"/>
    </format>
    <format dxfId="80">
      <pivotArea dataOnly="0" labelOnly="1" outline="0" axis="axisValues" fieldPosition="0"/>
    </format>
    <format dxfId="79">
      <pivotArea dataOnly="0" labelOnly="1" fieldPosition="0">
        <references count="1">
          <reference field="0" count="0"/>
        </references>
      </pivotArea>
    </format>
    <format dxfId="78">
      <pivotArea dataOnly="0" labelOnly="1" grandRow="1" outline="0"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outline="0" axis="axisValues" fieldPosition="0"/>
    </format>
    <format dxfId="72">
      <pivotArea dataOnly="0" labelOnly="1" fieldPosition="0">
        <references count="1">
          <reference field="0"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outline="0" axis="axisValues" fieldPosition="0"/>
    </format>
    <format dxfId="65">
      <pivotArea dataOnly="0" labelOnly="1" fieldPosition="0">
        <references count="1">
          <reference field="0" count="0"/>
        </references>
      </pivotArea>
    </format>
    <format dxfId="64">
      <pivotArea dataOnly="0" labelOnly="1" grandRow="1" outline="0" fieldPosition="0"/>
    </format>
    <format dxfId="6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1"/>
  </pivotTables>
  <data>
    <tabular pivotCacheId="1">
      <items count="12">
        <i x="0" s="1"/>
        <i x="1" s="1"/>
        <i x="2" s="1"/>
        <i x="3" s="1"/>
        <i x="4" s="1"/>
        <i x="7" s="1"/>
        <i x="8" s="1"/>
        <i x="9" s="1"/>
        <i x="5" s="1"/>
        <i x="10" s="1"/>
        <i x="6"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otal_Monthly_Expenditure" sourceName="Total Monthly Expenditure">
  <pivotTables>
    <pivotTable tabId="2" name="PivotTable1"/>
  </pivotTables>
  <data>
    <tabular pivotCacheId="1">
      <items count="11">
        <i x="0" s="1"/>
        <i x="1" s="1"/>
        <i x="9" s="1"/>
        <i x="4" s="1"/>
        <i x="7" s="1"/>
        <i x="3" s="1"/>
        <i x="6" s="1"/>
        <i x="10" s="1"/>
        <i x="2" s="1"/>
        <i x="5"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vings" sourceName="Savings">
  <pivotTables>
    <pivotTable tabId="2" name="PivotTable1"/>
  </pivotTables>
  <data>
    <tabular pivotCacheId="1">
      <items count="11">
        <i x="8" s="1"/>
        <i x="5" s="1"/>
        <i x="2" s="1"/>
        <i x="10" s="1"/>
        <i x="6" s="1"/>
        <i x="3" s="1"/>
        <i x="7" s="1"/>
        <i x="4" s="1"/>
        <i x="9"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34950"/>
  <slicer name="Total Monthly Expenditure" cache="Slicer_Total_Monthly_Expenditure" caption="Total Monthly Expenditure" rowHeight="234950"/>
  <slicer name="Savings" cache="Slicer_Savings" caption="Savings"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1" cache="Slicer_Month" caption="Month" columnCount="2" rowHeight="234950"/>
  <slicer name="Total Monthly Expenditure 1" cache="Slicer_Total_Monthly_Expenditure" caption="Total Monthly Expenditure" columnCount="2" rowHeight="234950"/>
  <slicer name="Savings 1" cache="Slicer_Savings" caption="Savings" columnCount="2" rowHeight="234950"/>
</slicers>
</file>

<file path=xl/tables/table1.xml><?xml version="1.0" encoding="utf-8"?>
<table xmlns="http://schemas.openxmlformats.org/spreadsheetml/2006/main" id="1" name="Table1" displayName="Table1" ref="A1:I13" totalsRowShown="0">
  <autoFilter ref="A1:I13"/>
  <tableColumns count="9">
    <tableColumn id="1" name="Month"/>
    <tableColumn id="2" name="Category"/>
    <tableColumn id="3" name="Rent"/>
    <tableColumn id="4" name="Food"/>
    <tableColumn id="5" name="Transport"/>
    <tableColumn id="6" name="Entertainment"/>
    <tableColumn id="7" name="Total Monthly Expenditure">
      <calculatedColumnFormula>SUM(C2:F2)</calculatedColumnFormula>
    </tableColumn>
    <tableColumn id="8" name="Budget"/>
    <tableColumn id="9" name="Savings">
      <calculatedColumnFormula>H2-G2</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election activeCell="H24" sqref="H24"/>
    </sheetView>
  </sheetViews>
  <sheetFormatPr defaultRowHeight="14.4" x14ac:dyDescent="0.3"/>
  <cols>
    <col min="2" max="2" width="10.44140625" customWidth="1"/>
    <col min="5" max="5" width="11" customWidth="1"/>
    <col min="6" max="6" width="15" customWidth="1"/>
    <col min="7" max="7" width="25.33203125" customWidth="1"/>
    <col min="9" max="9" width="9.21875" customWidth="1"/>
  </cols>
  <sheetData>
    <row r="1" spans="1:9" x14ac:dyDescent="0.3">
      <c r="A1" t="s">
        <v>0</v>
      </c>
      <c r="B1" t="s">
        <v>13</v>
      </c>
      <c r="C1" t="s">
        <v>14</v>
      </c>
      <c r="D1" t="s">
        <v>15</v>
      </c>
      <c r="E1" t="s">
        <v>16</v>
      </c>
      <c r="F1" t="s">
        <v>17</v>
      </c>
      <c r="G1" t="s">
        <v>18</v>
      </c>
      <c r="H1" t="s">
        <v>19</v>
      </c>
      <c r="I1" t="s">
        <v>20</v>
      </c>
    </row>
    <row r="2" spans="1:9" x14ac:dyDescent="0.3">
      <c r="A2" t="s">
        <v>1</v>
      </c>
      <c r="C2">
        <v>4500</v>
      </c>
      <c r="D2">
        <v>1700</v>
      </c>
      <c r="E2">
        <v>500</v>
      </c>
      <c r="F2">
        <v>250</v>
      </c>
      <c r="G2">
        <f>SUM(C2:F2)</f>
        <v>6950</v>
      </c>
      <c r="H2">
        <v>7000</v>
      </c>
      <c r="I2">
        <f>H2-G2</f>
        <v>50</v>
      </c>
    </row>
    <row r="3" spans="1:9" x14ac:dyDescent="0.3">
      <c r="A3" t="s">
        <v>2</v>
      </c>
      <c r="C3">
        <v>4500</v>
      </c>
      <c r="D3">
        <v>1800</v>
      </c>
      <c r="E3">
        <v>675</v>
      </c>
      <c r="F3">
        <v>0</v>
      </c>
      <c r="G3">
        <f t="shared" ref="G3:G13" si="0">SUM(C3:F3)</f>
        <v>6975</v>
      </c>
      <c r="H3">
        <v>7000</v>
      </c>
      <c r="I3">
        <f t="shared" ref="I3:I13" si="1">H3-G3</f>
        <v>25</v>
      </c>
    </row>
    <row r="4" spans="1:9" x14ac:dyDescent="0.3">
      <c r="A4" t="s">
        <v>3</v>
      </c>
      <c r="C4">
        <v>4500</v>
      </c>
      <c r="D4">
        <v>2300</v>
      </c>
      <c r="E4">
        <v>900</v>
      </c>
      <c r="F4">
        <v>375</v>
      </c>
      <c r="G4">
        <f t="shared" si="0"/>
        <v>8075</v>
      </c>
      <c r="H4">
        <v>7000</v>
      </c>
      <c r="I4">
        <f t="shared" si="1"/>
        <v>-1075</v>
      </c>
    </row>
    <row r="5" spans="1:9" x14ac:dyDescent="0.3">
      <c r="A5" t="s">
        <v>4</v>
      </c>
      <c r="C5">
        <v>4500</v>
      </c>
      <c r="D5">
        <v>2100</v>
      </c>
      <c r="E5">
        <v>855</v>
      </c>
      <c r="F5">
        <v>500</v>
      </c>
      <c r="G5">
        <f t="shared" si="0"/>
        <v>7955</v>
      </c>
      <c r="H5">
        <v>7000</v>
      </c>
      <c r="I5">
        <f t="shared" si="1"/>
        <v>-955</v>
      </c>
    </row>
    <row r="6" spans="1:9" x14ac:dyDescent="0.3">
      <c r="A6" t="s">
        <v>5</v>
      </c>
      <c r="C6">
        <v>4500</v>
      </c>
      <c r="D6">
        <v>2000</v>
      </c>
      <c r="E6">
        <v>770</v>
      </c>
      <c r="F6">
        <v>400</v>
      </c>
      <c r="G6">
        <f t="shared" si="0"/>
        <v>7670</v>
      </c>
      <c r="H6">
        <v>7000</v>
      </c>
      <c r="I6">
        <f t="shared" si="1"/>
        <v>-670</v>
      </c>
    </row>
    <row r="7" spans="1:9" x14ac:dyDescent="0.3">
      <c r="A7" t="s">
        <v>6</v>
      </c>
      <c r="C7">
        <v>4500</v>
      </c>
      <c r="D7">
        <v>2200</v>
      </c>
      <c r="E7">
        <v>1010</v>
      </c>
      <c r="F7">
        <v>575</v>
      </c>
      <c r="G7">
        <f t="shared" si="0"/>
        <v>8285</v>
      </c>
      <c r="H7">
        <v>7000</v>
      </c>
      <c r="I7">
        <f t="shared" si="1"/>
        <v>-1285</v>
      </c>
    </row>
    <row r="8" spans="1:9" x14ac:dyDescent="0.3">
      <c r="A8" t="s">
        <v>7</v>
      </c>
      <c r="C8">
        <v>4500</v>
      </c>
      <c r="D8">
        <v>1878</v>
      </c>
      <c r="E8">
        <v>925</v>
      </c>
      <c r="F8">
        <v>699</v>
      </c>
      <c r="G8">
        <f t="shared" si="0"/>
        <v>8002</v>
      </c>
      <c r="H8">
        <v>7000</v>
      </c>
      <c r="I8">
        <f t="shared" si="1"/>
        <v>-1002</v>
      </c>
    </row>
    <row r="9" spans="1:9" x14ac:dyDescent="0.3">
      <c r="A9" t="s">
        <v>8</v>
      </c>
      <c r="C9">
        <v>4500</v>
      </c>
      <c r="D9">
        <v>2245</v>
      </c>
      <c r="E9">
        <v>550</v>
      </c>
      <c r="F9">
        <v>546</v>
      </c>
      <c r="G9">
        <f t="shared" si="0"/>
        <v>7841</v>
      </c>
      <c r="H9">
        <v>7000</v>
      </c>
      <c r="I9">
        <f t="shared" si="1"/>
        <v>-841</v>
      </c>
    </row>
    <row r="10" spans="1:9" x14ac:dyDescent="0.3">
      <c r="A10" t="s">
        <v>9</v>
      </c>
      <c r="C10">
        <v>4500</v>
      </c>
      <c r="D10">
        <v>2356</v>
      </c>
      <c r="E10">
        <v>880</v>
      </c>
      <c r="F10">
        <v>789</v>
      </c>
      <c r="G10">
        <f t="shared" si="0"/>
        <v>8525</v>
      </c>
      <c r="H10">
        <v>7000</v>
      </c>
      <c r="I10">
        <f t="shared" si="1"/>
        <v>-1525</v>
      </c>
    </row>
    <row r="11" spans="1:9" x14ac:dyDescent="0.3">
      <c r="A11" t="s">
        <v>10</v>
      </c>
      <c r="C11">
        <v>4500</v>
      </c>
      <c r="D11">
        <v>2189</v>
      </c>
      <c r="E11">
        <v>673</v>
      </c>
      <c r="F11">
        <v>479</v>
      </c>
      <c r="G11">
        <f t="shared" si="0"/>
        <v>7841</v>
      </c>
      <c r="H11">
        <v>7000</v>
      </c>
      <c r="I11">
        <f t="shared" si="1"/>
        <v>-841</v>
      </c>
    </row>
    <row r="12" spans="1:9" x14ac:dyDescent="0.3">
      <c r="A12" t="s">
        <v>11</v>
      </c>
      <c r="C12">
        <v>4500</v>
      </c>
      <c r="D12">
        <v>1979</v>
      </c>
      <c r="E12">
        <v>785</v>
      </c>
      <c r="F12">
        <v>299</v>
      </c>
      <c r="G12">
        <f t="shared" si="0"/>
        <v>7563</v>
      </c>
      <c r="H12">
        <v>7000</v>
      </c>
      <c r="I12">
        <f t="shared" si="1"/>
        <v>-563</v>
      </c>
    </row>
    <row r="13" spans="1:9" x14ac:dyDescent="0.3">
      <c r="A13" t="s">
        <v>12</v>
      </c>
      <c r="C13">
        <v>4500</v>
      </c>
      <c r="D13">
        <v>1648</v>
      </c>
      <c r="E13">
        <v>1090</v>
      </c>
      <c r="F13">
        <v>783</v>
      </c>
      <c r="G13">
        <f t="shared" si="0"/>
        <v>8021</v>
      </c>
      <c r="H13">
        <v>7000</v>
      </c>
      <c r="I13">
        <f t="shared" si="1"/>
        <v>-1021</v>
      </c>
    </row>
    <row r="22" spans="7:8" x14ac:dyDescent="0.3">
      <c r="G22" t="s">
        <v>27</v>
      </c>
      <c r="H22">
        <f>SUM(H2:H13)</f>
        <v>84000</v>
      </c>
    </row>
    <row r="24" spans="7:8" x14ac:dyDescent="0.3">
      <c r="G24" t="s">
        <v>28</v>
      </c>
      <c r="H24">
        <f>SUM(Table1[Savings])</f>
        <v>-9703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6"/>
  <sheetViews>
    <sheetView workbookViewId="0">
      <selection activeCell="A3" sqref="A3:B15"/>
    </sheetView>
  </sheetViews>
  <sheetFormatPr defaultRowHeight="14.4" x14ac:dyDescent="0.3"/>
  <cols>
    <col min="1" max="1" width="14.77734375" bestFit="1" customWidth="1"/>
    <col min="2" max="2" width="30.44140625" bestFit="1" customWidth="1"/>
    <col min="4" max="4" width="12.5546875" bestFit="1" customWidth="1"/>
    <col min="5" max="5" width="11.6640625" bestFit="1" customWidth="1"/>
    <col min="7" max="7" width="12.5546875" bestFit="1" customWidth="1"/>
    <col min="8" max="8" width="15.6640625" bestFit="1" customWidth="1"/>
    <col min="10" max="10" width="12.5546875" bestFit="1" customWidth="1"/>
    <col min="11" max="12" width="19.77734375" bestFit="1" customWidth="1"/>
  </cols>
  <sheetData>
    <row r="3" spans="1:11" x14ac:dyDescent="0.3">
      <c r="A3" s="1" t="s">
        <v>21</v>
      </c>
      <c r="B3" s="2" t="s">
        <v>26</v>
      </c>
      <c r="C3" s="2"/>
      <c r="D3" s="1" t="s">
        <v>21</v>
      </c>
      <c r="E3" s="2" t="s">
        <v>23</v>
      </c>
      <c r="F3" s="2"/>
      <c r="G3" s="1" t="s">
        <v>21</v>
      </c>
      <c r="H3" s="2" t="s">
        <v>24</v>
      </c>
      <c r="I3" s="2"/>
      <c r="J3" s="1" t="s">
        <v>21</v>
      </c>
      <c r="K3" s="2" t="s">
        <v>25</v>
      </c>
    </row>
    <row r="4" spans="1:11" x14ac:dyDescent="0.3">
      <c r="A4" s="2" t="s">
        <v>1</v>
      </c>
      <c r="B4" s="3">
        <v>6950</v>
      </c>
      <c r="C4" s="2"/>
      <c r="D4" s="2" t="s">
        <v>1</v>
      </c>
      <c r="E4" s="3">
        <v>1700</v>
      </c>
      <c r="F4" s="2"/>
      <c r="G4" s="2" t="s">
        <v>1</v>
      </c>
      <c r="H4" s="3">
        <v>500</v>
      </c>
      <c r="I4" s="2"/>
      <c r="J4" s="2" t="s">
        <v>1</v>
      </c>
      <c r="K4" s="3">
        <v>250</v>
      </c>
    </row>
    <row r="5" spans="1:11" x14ac:dyDescent="0.3">
      <c r="A5" s="2" t="s">
        <v>2</v>
      </c>
      <c r="B5" s="3">
        <v>6975</v>
      </c>
      <c r="C5" s="2"/>
      <c r="D5" s="2" t="s">
        <v>2</v>
      </c>
      <c r="E5" s="3">
        <v>1800</v>
      </c>
      <c r="F5" s="2"/>
      <c r="G5" s="2" t="s">
        <v>2</v>
      </c>
      <c r="H5" s="3">
        <v>675</v>
      </c>
      <c r="I5" s="2"/>
      <c r="J5" s="2" t="s">
        <v>2</v>
      </c>
      <c r="K5" s="3">
        <v>0</v>
      </c>
    </row>
    <row r="6" spans="1:11" x14ac:dyDescent="0.3">
      <c r="A6" s="2" t="s">
        <v>3</v>
      </c>
      <c r="B6" s="3">
        <v>8075</v>
      </c>
      <c r="C6" s="2"/>
      <c r="D6" s="2" t="s">
        <v>3</v>
      </c>
      <c r="E6" s="3">
        <v>2300</v>
      </c>
      <c r="F6" s="2"/>
      <c r="G6" s="2" t="s">
        <v>3</v>
      </c>
      <c r="H6" s="3">
        <v>900</v>
      </c>
      <c r="I6" s="2"/>
      <c r="J6" s="2" t="s">
        <v>3</v>
      </c>
      <c r="K6" s="3">
        <v>375</v>
      </c>
    </row>
    <row r="7" spans="1:11" x14ac:dyDescent="0.3">
      <c r="A7" s="2" t="s">
        <v>4</v>
      </c>
      <c r="B7" s="3">
        <v>7955</v>
      </c>
      <c r="C7" s="2"/>
      <c r="D7" s="2" t="s">
        <v>4</v>
      </c>
      <c r="E7" s="3">
        <v>2100</v>
      </c>
      <c r="F7" s="2"/>
      <c r="G7" s="2" t="s">
        <v>4</v>
      </c>
      <c r="H7" s="3">
        <v>855</v>
      </c>
      <c r="I7" s="2"/>
      <c r="J7" s="2" t="s">
        <v>4</v>
      </c>
      <c r="K7" s="3">
        <v>500</v>
      </c>
    </row>
    <row r="8" spans="1:11" x14ac:dyDescent="0.3">
      <c r="A8" s="2" t="s">
        <v>5</v>
      </c>
      <c r="B8" s="3">
        <v>7670</v>
      </c>
      <c r="C8" s="2"/>
      <c r="D8" s="2" t="s">
        <v>5</v>
      </c>
      <c r="E8" s="3">
        <v>2000</v>
      </c>
      <c r="F8" s="2"/>
      <c r="G8" s="2" t="s">
        <v>5</v>
      </c>
      <c r="H8" s="3">
        <v>770</v>
      </c>
      <c r="I8" s="2"/>
      <c r="J8" s="2" t="s">
        <v>5</v>
      </c>
      <c r="K8" s="3">
        <v>400</v>
      </c>
    </row>
    <row r="9" spans="1:11" x14ac:dyDescent="0.3">
      <c r="A9" s="2" t="s">
        <v>8</v>
      </c>
      <c r="B9" s="3">
        <v>7841</v>
      </c>
      <c r="C9" s="2"/>
      <c r="D9" s="2" t="s">
        <v>8</v>
      </c>
      <c r="E9" s="3">
        <v>2245</v>
      </c>
      <c r="F9" s="2"/>
      <c r="G9" s="2" t="s">
        <v>8</v>
      </c>
      <c r="H9" s="3">
        <v>550</v>
      </c>
      <c r="I9" s="2"/>
      <c r="J9" s="2" t="s">
        <v>8</v>
      </c>
      <c r="K9" s="3">
        <v>546</v>
      </c>
    </row>
    <row r="10" spans="1:11" x14ac:dyDescent="0.3">
      <c r="A10" s="2" t="s">
        <v>9</v>
      </c>
      <c r="B10" s="3">
        <v>8525</v>
      </c>
      <c r="C10" s="2"/>
      <c r="D10" s="2" t="s">
        <v>9</v>
      </c>
      <c r="E10" s="3">
        <v>2356</v>
      </c>
      <c r="F10" s="2"/>
      <c r="G10" s="2" t="s">
        <v>9</v>
      </c>
      <c r="H10" s="3">
        <v>880</v>
      </c>
      <c r="I10" s="2"/>
      <c r="J10" s="2" t="s">
        <v>9</v>
      </c>
      <c r="K10" s="3">
        <v>789</v>
      </c>
    </row>
    <row r="11" spans="1:11" x14ac:dyDescent="0.3">
      <c r="A11" s="2" t="s">
        <v>10</v>
      </c>
      <c r="B11" s="3">
        <v>7841</v>
      </c>
      <c r="C11" s="2"/>
      <c r="D11" s="2" t="s">
        <v>10</v>
      </c>
      <c r="E11" s="3">
        <v>2189</v>
      </c>
      <c r="F11" s="2"/>
      <c r="G11" s="2" t="s">
        <v>10</v>
      </c>
      <c r="H11" s="3">
        <v>673</v>
      </c>
      <c r="I11" s="2"/>
      <c r="J11" s="2" t="s">
        <v>10</v>
      </c>
      <c r="K11" s="3">
        <v>479</v>
      </c>
    </row>
    <row r="12" spans="1:11" x14ac:dyDescent="0.3">
      <c r="A12" s="2" t="s">
        <v>11</v>
      </c>
      <c r="B12" s="3">
        <v>7563</v>
      </c>
      <c r="C12" s="2"/>
      <c r="D12" s="2" t="s">
        <v>11</v>
      </c>
      <c r="E12" s="3">
        <v>1979</v>
      </c>
      <c r="F12" s="2"/>
      <c r="G12" s="2" t="s">
        <v>11</v>
      </c>
      <c r="H12" s="3">
        <v>785</v>
      </c>
      <c r="I12" s="2"/>
      <c r="J12" s="2" t="s">
        <v>11</v>
      </c>
      <c r="K12" s="3">
        <v>299</v>
      </c>
    </row>
    <row r="13" spans="1:11" x14ac:dyDescent="0.3">
      <c r="A13" s="2" t="s">
        <v>12</v>
      </c>
      <c r="B13" s="3">
        <v>8021</v>
      </c>
      <c r="C13" s="2"/>
      <c r="D13" s="2" t="s">
        <v>12</v>
      </c>
      <c r="E13" s="3">
        <v>1648</v>
      </c>
      <c r="F13" s="2"/>
      <c r="G13" s="2" t="s">
        <v>12</v>
      </c>
      <c r="H13" s="3">
        <v>1090</v>
      </c>
      <c r="I13" s="2"/>
      <c r="J13" s="2" t="s">
        <v>12</v>
      </c>
      <c r="K13" s="3">
        <v>783</v>
      </c>
    </row>
    <row r="14" spans="1:11" x14ac:dyDescent="0.3">
      <c r="A14" s="2" t="s">
        <v>6</v>
      </c>
      <c r="B14" s="3">
        <v>8285</v>
      </c>
      <c r="C14" s="2"/>
      <c r="D14" s="2" t="s">
        <v>6</v>
      </c>
      <c r="E14" s="3">
        <v>2200</v>
      </c>
      <c r="F14" s="2"/>
      <c r="G14" s="2" t="s">
        <v>6</v>
      </c>
      <c r="H14" s="3">
        <v>1010</v>
      </c>
      <c r="I14" s="2"/>
      <c r="J14" s="2" t="s">
        <v>6</v>
      </c>
      <c r="K14" s="3">
        <v>575</v>
      </c>
    </row>
    <row r="15" spans="1:11" x14ac:dyDescent="0.3">
      <c r="A15" s="2" t="s">
        <v>7</v>
      </c>
      <c r="B15" s="3">
        <v>8002</v>
      </c>
      <c r="C15" s="2"/>
      <c r="D15" s="2" t="s">
        <v>7</v>
      </c>
      <c r="E15" s="3">
        <v>1878</v>
      </c>
      <c r="F15" s="2"/>
      <c r="G15" s="2" t="s">
        <v>7</v>
      </c>
      <c r="H15" s="3">
        <v>925</v>
      </c>
      <c r="I15" s="2"/>
      <c r="J15" s="2" t="s">
        <v>7</v>
      </c>
      <c r="K15" s="3">
        <v>699</v>
      </c>
    </row>
    <row r="16" spans="1:11" x14ac:dyDescent="0.3">
      <c r="A16" s="2" t="s">
        <v>22</v>
      </c>
      <c r="B16" s="3">
        <v>93703</v>
      </c>
      <c r="C16" s="2"/>
      <c r="D16" s="2" t="s">
        <v>22</v>
      </c>
      <c r="E16" s="3">
        <v>24395</v>
      </c>
      <c r="F16" s="2"/>
      <c r="G16" s="2" t="s">
        <v>22</v>
      </c>
      <c r="H16" s="3">
        <v>9613</v>
      </c>
      <c r="I16" s="2"/>
      <c r="J16" s="2" t="s">
        <v>22</v>
      </c>
      <c r="K16" s="3">
        <v>5695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90" workbookViewId="0">
      <selection activeCell="S10" sqref="S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2026-01-19T15:42:52Z</dcterms:created>
  <dcterms:modified xsi:type="dcterms:W3CDTF">2026-01-21T07:18:32Z</dcterms:modified>
</cp:coreProperties>
</file>